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charts/chart1.xml" ContentType="application/vnd.openxmlformats-officedocument.drawingml.chart+xml"/>
  <Override PartName="/xl/drawings/drawing1.xml" ContentType="application/vnd.openxmlformats-officedocument.drawing+xml"/>
  <Override PartName="/xl/sharedStrings.xml" ContentType="application/vnd.openxmlformats-officedocument.spreadsheetml.sharedStrings+xml"/>
  <Override PartName="/xl/styles.xml" ContentType="application/vnd.openxmlformats-officedocument.spreadsheetml.styles+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28800" windowHeight="12180"/>
  </bookViews>
  <sheets>
    <sheet name="OVERVIEW" sheetId="1" r:id="rId1"/>
    <sheet name="DASHBOARD" sheetId="2" r:id="rId2"/>
    <sheet name="M1_TASKS" sheetId="3" r:id="rId3"/>
    <sheet name="ROADMAP" sheetId="4" r:id="rId4"/>
    <sheet name="TEAM" sheetId="5" r:id="rId5"/>
    <sheet name="RISKS" sheetId="6" r:id="rId6"/>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<sst xmlns="http://schemas.openxmlformats.org/spreadsheetml/2006/main" count="613" uniqueCount="352">
  <si>
    <t>SWD392 — AIVES: Hệ thống thi vấn đáp có AI</t>
  </si>
  <si>
    <t>Tổng quan dự án</t>
  </si>
  <si>
    <t>Dự án</t>
  </si>
  <si>
    <t>AIVES – thi vấn đáp có AI</t>
  </si>
  <si>
    <t>Giai đoạn hiện tại</t>
  </si>
  <si>
    <t>Phase 0 — Chốt nền tảng &amp; contract</t>
  </si>
  <si>
    <t>Milestone hiện tại</t>
  </si>
  <si>
    <t>M1 — Luồng thi cơ bản chạy thông</t>
  </si>
  <si>
    <t>Team</t>
  </si>
  <si>
    <t>2 FE + 2 BE</t>
  </si>
  <si>
    <t>Repo FE</t>
  </si>
  <si>
    <t>ai-oral-exam-web</t>
  </si>
  <si>
    <t>Repo BE</t>
  </si>
  <si>
    <t>ai-oral-exam-api</t>
  </si>
  <si>
    <t>Kiểu backend</t>
  </si>
  <si>
    <t>ASP.NET Core Modular Monolith</t>
  </si>
  <si>
    <t>Database</t>
  </si>
  <si>
    <t>PostgreSQL (EF Core)</t>
  </si>
  <si>
    <t>Chia BE</t>
  </si>
  <si>
    <t>1 BE AI Core + 1 BE Platform/PM</t>
  </si>
  <si>
    <t>Chia FE</t>
  </si>
  <si>
    <t>FE Interview + FE Platform</t>
  </si>
  <si>
    <t>Realtime</t>
  </si>
  <si>
    <t>REST + WebSocket</t>
  </si>
  <si>
    <t>AI &amp; lưu trữ</t>
  </si>
  <si>
    <t>STT/TTS/LLM qua adapter; file ghi âm ở Object Storage</t>
  </si>
  <si>
    <t>Phạm vi dự án</t>
  </si>
  <si>
    <t>Tính năng</t>
  </si>
  <si>
    <t>Phạm vi</t>
  </si>
  <si>
    <t>Phụ trách chính</t>
  </si>
  <si>
    <t>Ghi chú</t>
  </si>
  <si>
    <t/>
  </si>
  <si>
    <t>Feature 3 – AI Viva Interview</t>
  </si>
  <si>
    <t>Đọc câu hỏi bằng TTS, nghe câu trả lời bằng STT, hỏi xoáy khi câu trả lời chưa rõ, giới hạn thời gian và số lần hỏi xoáy, AI gợi ý điểm theo rubric, giảng viên xem lại và chốt điểm cuối</t>
  </si>
  <si>
    <t>BE AI Core + FE Interview</t>
  </si>
  <si>
    <t>Phần tạo khác biệt của dự án</t>
  </si>
  <si>
    <t>Feature 6 – Feedback &amp; Reporting</t>
  </si>
  <si>
    <t>Báo cáo cho sinh viên (ghi rõ điểm AI gợi ý từng câu và điểm cuối giảng viên chốt), kết quả từng sinh viên, thống kê lớp (câu khó nhất, tỉ lệ trả lời tốt, phân bố điểm), xuất bảng điểm theo mẫu của trường</t>
  </si>
  <si>
    <t>FE Platform + BE Platform</t>
  </si>
  <si>
    <t>Làm song song với M2 bằng dữ liệu điểm mẫu</t>
  </si>
  <si>
    <t>Feature 7 – Access Control &amp; Exam Configuration</t>
  </si>
  <si>
    <t>Tài khoản và vai trò; đăng ký (xác nhận email); đăng nhập Google SSO hoặc account name/email + mật khẩu (hash + salt; link đặt tài khoản đặt cả account name lẫn mật khẩu, link đặt lại chỉ đổi mật khẩu); cài đặt tài khoản (đổi username, liên kết Google); quản lý môn học và phân giảng viên vào môn; tạo phiên thi, nạp câu hỏi, rubric, danh sách sinh viên, khung giờ, thời gian trả lời (giây) và số lần hỏi xoáy, publish; cấu hình ngôn ngữ STT/TTS và AI provider; audit log</t>
  </si>
  <si>
    <t>Trong danh sách tính năng của lớp tên là "System Administration"; thầy yêu cầu diagram dùng tên khác</t>
  </si>
  <si>
    <t>Tài liệu thiết kế</t>
  </si>
  <si>
    <t>Use case, swimlane (9 workflow), ERD, class diagram, kiến trúc hệ thống</t>
  </si>
  <si>
    <t>Hiệu (cả team review)</t>
  </si>
  <si>
    <t>Nằm trong thư mục SWD2026/02_Thiet-ke, viết bằng tiếng Anh</t>
  </si>
  <si>
    <t>Ngoài phạm vi</t>
  </si>
  <si>
    <t>Tích hợp LMS</t>
  </si>
  <si>
    <t>—</t>
  </si>
  <si>
    <t>Kiến trúc chừa sẵn chỗ mở rộng, bản đầu chưa làm</t>
  </si>
  <si>
    <t>Luồng chính từ đầu đến cuối</t>
  </si>
  <si>
    <t>Giảng viên tạo phiên thi (câu hỏi + rubric + danh sách sinh viên) rồi publish → Sinh viên có tên trong danh sách đăng nhập và vào phiên thi trong khung giờ của phiên → Tạo lượt thi (InterviewAttempt) → Nghe câu hỏi (TTS) → Trả lời bằng giọng nói → STT ra transcript → AI phân tích, hỏi xoáy nếu cần → AI gợi ý điểm theo rubric → Giảng viên xem lại và chốt điểm → Sinh viên xem báo cáo, giảng viên xem thống kê</t>
  </si>
  <si>
    <t>Quy tắc nghiệp vụ quan trọng</t>
  </si>
  <si>
    <t>1</t>
  </si>
  <si>
    <t>Exam Session (phiên thi) khác Interview Attempt (lượt thi của từng sinh viên). Chỉ sinh viên có tên trong danh sách mới tạo được lượt thi, trong khung giờ của phiên, mỗi người một lượt. Hết giờ phiên tự đóng: lượt đang làm dừng ngay, câu chưa trả lời tính 0 điểm (câu chưa tới lượt không lưu gì, chỉ cộng 0 vào tổng)</t>
  </si>
  <si>
    <t>2</t>
  </si>
  <si>
    <t>Câu hỏi chính do giảng viên soạn, khác câu hỏi xoáy do AI sinh ra</t>
  </si>
  <si>
    <t>3</t>
  </si>
  <si>
    <t>Phân tích câu trả lời (để quyết định hỏi xoáy) tách riêng với chấm điểm theo rubric</t>
  </si>
  <si>
    <t>4</t>
  </si>
  <si>
    <t>AI chỉ gợi ý điểm, giảng viên luôn là người chốt điểm cuối. Giảng viên chốt một lần cho cả lượt thi, bắt đầu từ tổng điểm AI gợi ý; báo cáo ghi rõ điểm từng câu là AI gợi ý, điểm cuối là giảng viên chốt</t>
  </si>
  <si>
    <t>5</t>
  </si>
  <si>
    <t>Reporting chỉ đọc điểm đã lưu, không gọi lại AI để chấm lại; chỉ tính lượt thi đã chốt</t>
  </si>
  <si>
    <t>6</t>
  </si>
  <si>
    <t>Phiên thi chỉ publish được khi có ít nhất 1 câu hỏi, câu nào cũng có rubric và có ít nhất 1 sinh viên trong danh sách. Publish rồi thì khoá câu hỏi và rubric; lượt thi lưu nguyên văn câu hỏi đã hỏi</t>
  </si>
  <si>
    <t>Thế nào là xong cả dự án</t>
  </si>
  <si>
    <t>Giảng viên tạo và publish được phiên thi có câu hỏi, rubric và danh sách sinh viên. Sinh viên đăng ký hoặc đăng nhập (Google SSO, hoặc account name/email + mật khẩu), thi bằng giọng nói, AI hỏi xoáy khi cần và gợi ý điểm theo rubric. Giảng viên xem lại và chốt điểm; sinh viên xem được báo cáo; giảng viên xem thống kê lớp và xuất bảng điểm. Admin quản lý tài khoản, môn học, phân giảng viên vào môn, cấu hình ngôn ngữ và AI provider, xem audit log. Cả luồng demo lại nhiều lần vẫn chạy ổn.</t>
  </si>
  <si>
    <t>Dashboard dự án SWD392 – AIVES</t>
  </si>
  <si>
    <t>Tiến độ M1</t>
  </si>
  <si>
    <t>Xong / Tổng</t>
  </si>
  <si>
    <t>Đang kẹt</t>
  </si>
  <si>
    <t>Tiến độ M1 theo mảng</t>
  </si>
  <si>
    <t>Điều kiện qua M1</t>
  </si>
  <si>
    <t>Mảng</t>
  </si>
  <si>
    <t>Tổng task</t>
  </si>
  <si>
    <t>Xong</t>
  </si>
  <si>
    <t>Tiến độ</t>
  </si>
  <si>
    <t xml:space="preserve">M1 coi là xong khi React → ASP.NET Core → PostgreSQL → React chạy thông:
Sinh viên đăng nhập → mở trang thi → tạo lượt thi → nhận câu hỏi mock → timer chạy → gõ câu trả lời → backend lưu → mock AI trả điểm + nhận xét → giao diện hiện kết quả (điểm mock chỉ để kiểm tra luồng).
Chưa đụng tới STT/TTS/LLM thật cho tới khi qua được M1.</t>
  </si>
  <si>
    <t>Foundation</t>
  </si>
  <si>
    <t>BE Platform</t>
  </si>
  <si>
    <t>BE AI Core</t>
  </si>
  <si>
    <t>FE Interview</t>
  </si>
  <si>
    <t>FE Platform</t>
  </si>
  <si>
    <t>M1 Integration</t>
  </si>
  <si>
    <t>Toàn cảnh roadmap</t>
  </si>
  <si>
    <t>Giai đoạn</t>
  </si>
  <si>
    <t>Trạng thái</t>
  </si>
  <si>
    <t>Điều kiện hoàn thành</t>
  </si>
  <si>
    <t>Tiếp theo</t>
  </si>
  <si>
    <t>Mã</t>
  </si>
  <si>
    <t>Tên task</t>
  </si>
  <si>
    <t>Ưu tiên</t>
  </si>
  <si>
    <t>Người làm</t>
  </si>
  <si>
    <t>Người review</t>
  </si>
  <si>
    <t>Phụ thuộc</t>
  </si>
  <si>
    <t>% Tiến độ</t>
  </si>
  <si>
    <t>Ngày bắt đầu</t>
  </si>
  <si>
    <t>Hạn chót</t>
  </si>
  <si>
    <t>Tiêu chí hoàn thành</t>
  </si>
  <si>
    <t>Link Trello</t>
  </si>
  <si>
    <t>FOUNDATION-01</t>
  </si>
  <si>
    <t>Chốt luồng thi MVP</t>
  </si>
  <si>
    <t>P0</t>
  </si>
  <si>
    <t>BE Platform / PM</t>
  </si>
  <si>
    <t>Phase 0 / M1</t>
  </si>
  <si>
    <t>Not Started</t>
  </si>
  <si>
    <t>Cả team thống nhất luồng thi và cách gọi tên: Exam Session ≠ Interview Attempt, câu hỏi chính ≠ câu hỏi xoáy, phân tích câu trả lời ≠ chấm điểm. Chốt một bản gate M1 duy nhất (có đăng nhập và timer).</t>
  </si>
  <si>
    <t>Cả team đang chờ task này, nên gói gọn trong một buổi họp.</t>
  </si>
  <si>
    <t>FOUNDATION-02</t>
  </si>
  <si>
    <t>Chốt API contract (REST + realtime)</t>
  </si>
  <si>
    <t>FE Interview + BE AI Core</t>
  </si>
  <si>
    <t>Có đủ request/response DTO và format lỗi chung cho: đăng nhập, POST /api/interview-attempts, POST /api/interview-attempts/{id}/responses. FE làm được bằng mock, cả 4 người đã xem qua.</t>
  </si>
  <si>
    <t>FOUNDATION-03</t>
  </si>
  <si>
    <t>Chốt domain model v1</t>
  </si>
  <si>
    <t>Entity, quan hệ và tên gọi khớp với ConceptualERD.drawio và ClassDiagram.drawio; một câu hỏi chính có được nhiều câu hỏi xoáy.</t>
  </si>
  <si>
    <t>ERD và class diagram đã có trong thư mục SWD2026/02_Thiet-ke, chủ yếu là cả team duyệt lại. Chuyển sang BE AI Core để BE Platform/PM bớt tải.</t>
  </si>
  <si>
    <t>FOUNDATION-04</t>
  </si>
  <si>
    <t>Dựng khung FE, BE và các module</t>
  </si>
  <si>
    <t>BE Platform / PM + FE Platform</t>
  </si>
  <si>
    <t>Whole Team</t>
  </si>
  <si>
    <t>Hai repo build được. BE chia module: Interview, Reporting, Access &amp; Exam Configuration + Shared Kernel; module chỉ gọi nhau qua interface, mỗi module giữ bảng riêng; không tách microservice.</t>
  </si>
  <si>
    <t>DOC-01</t>
  </si>
  <si>
    <t>Hoàn thiện bộ tài liệu thiết kế (tiếng Anh)</t>
  </si>
  <si>
    <t>Code Review</t>
  </si>
  <si>
    <t>Use case, swimlane (9 workflow), ERD, class diagram và kiến trúc hệ thống khớp nhau và khớp đề tài; đã đối chiếu chéo.</t>
  </si>
  <si>
    <t>Hiệu làm. Đã sửa theo review lần 1 (03/10), sau khi rà lại (06/10) và theo các quyết định chốt ngày 06/10; chờ cả team xem lại lần 2. File ở SWD2026/02_Thiet-ke, bản review ở SWD2026/04_Review-nhom.</t>
  </si>
  <si>
    <t>BE-PLAT-01</t>
  </si>
  <si>
    <t>Cài PostgreSQL và EF Core migration</t>
  </si>
  <si>
    <t>M1</t>
  </si>
  <si>
    <t>Có chuỗi kết nối DB, migration đầu tiên chạy được, ai trong team cũng dựng được DB trên máy mình (docker-compose).</t>
  </si>
  <si>
    <t>BE-PLAT-02</t>
  </si>
  <si>
    <t>Lưu InterviewAttempt</t>
  </si>
  <si>
    <t>FOUNDATION-03, BE-PLAT-01, BE-AI-01</t>
  </si>
  <si>
    <t>Tạo và đọc được InterviewAttempt; lưu participant, thời điểm bắt đầu và trạng thái (dùng đúng bộ trạng thái của BE-AI-01).</t>
  </si>
  <si>
    <t>BE-PLAT-03</t>
  </si>
  <si>
    <t>Lưu QuestionResponse và InterviewTurn</t>
  </si>
  <si>
    <t>BE-PLAT-01, FOUNDATION-03</t>
  </si>
  <si>
    <t>Một lượt thi có nhiều QuestionResponse, mỗi QuestionResponse có nhiều InterviewTurn; transcript lưu theo từng turn.</t>
  </si>
  <si>
    <t>Lên P0 vì gate M1 cần lưu câu trả lời.</t>
  </si>
  <si>
    <t>BE-PLAT-04</t>
  </si>
  <si>
    <t>API tạo lượt thi</t>
  </si>
  <si>
    <t>FOUNDATION-02, BE-PLAT-02, BE-PLAT-06</t>
  </si>
  <si>
    <t>POST /api/interview-attempts kiểm tra dữ liệu (sinh viên phải có tên trong danh sách participant của phiên thi, phiên đang trong khung giờ và sinh viên chưa có lượt thi nào), lưu lượt thi, trả về câu hỏi đầu tiên (lấy từ dữ liệu mẫu), trả 201 và có trong Swagger.</t>
  </si>
  <si>
    <t>BE-PLAT-05</t>
  </si>
  <si>
    <t>Xử lý lỗi và log dùng chung</t>
  </si>
  <si>
    <t>P1</t>
  </si>
  <si>
    <t>Format lỗi thống nhất, bắt lỗi toàn cục, log các bước chính của luồng thi, không ghi lộ secret ra log.</t>
  </si>
  <si>
    <t>BE-PLAT-06</t>
  </si>
  <si>
    <t>Seed dữ liệu mẫu cho M1</t>
  </si>
  <si>
    <t>Có sẵn course, phiên thi, participant, vài câu hỏi và rubric mẫu để tạo lượt thi mà chưa cần màn hình cấu hình. Phiên mẫu có khung giờ đang mở lúc chạy thử, và có cách xoá lượt thi mẫu để chạy lại demo (mỗi sinh viên chỉ được một lượt).</t>
  </si>
  <si>
    <t>Thay cho task cũ "External Integration Contracts": phiên thi, câu hỏi và rubric giờ do nhóm tự làm. Phần interface STT/TTS/LLM chuyển sang BE-AI-06.</t>
  </si>
  <si>
    <t>BE-PLAT-07</t>
  </si>
  <si>
    <t>Đăng nhập bằng mật khẩu + JWT + phân quyền cơ bản</t>
  </si>
  <si>
    <t>BE-PLAT-01, FOUNDATION-02</t>
  </si>
  <si>
    <t>Có tài khoản mẫu cho Student/Lecturer/Admin; đăng nhập bằng account name hoặc email + mật khẩu; mật khẩu chỉ lưu dạng hash + salt (PBKDF2 có sẵn trong .NET); đăng nhập trả JWT có role; API luồng thi chỉ cho Student gọi.</t>
  </si>
  <si>
    <t>Mới thêm vì gate M1 bắt đầu bằng bước đăng nhập. Google SSO, đăng ký và các link email (đặt account name và mật khẩu, đặt lại mật khẩu, xác nhận email) để sang M4.</t>
  </si>
  <si>
    <t>BE-AI-01</t>
  </si>
  <si>
    <t>Chốt các trạng thái của buổi thi</t>
  </si>
  <si>
    <t>Ghi rõ các trạng thái và cách chuyển giữa chúng; chặn chuyển sai; định nghĩa cách xử lý khi hết giờ trả lời, khi đủ số lần hỏi xoáy và khi phiên đóng giữa chừng (lượt thi dừng ngay, câu chưa trả lời tính 0 điểm; câu chưa tới lượt không lưu gì).</t>
  </si>
  <si>
    <t>FE-INT-02 và BE-PLAT-02 dùng chung bộ trạng thái này.</t>
  </si>
  <si>
    <t>BE-AI-02</t>
  </si>
  <si>
    <t>Contract phân tích câu trả lời</t>
  </si>
  <si>
    <t>Contract trả về: đủ ý chưa, thiếu ý nào, có cần hỏi xoáy không; tách riêng với chấm điểm; mock được.</t>
  </si>
  <si>
    <t>Hạ xuống P1 vì M1 chưa có hỏi xoáy, nhưng vẫn nên làm sớm để giữ ranh giới với chấm điểm.</t>
  </si>
  <si>
    <t>BE-AI-03</t>
  </si>
  <si>
    <t>Contract chấm điểm theo rubric</t>
  </si>
  <si>
    <t>Đầu vào gồm câu hỏi, rubric, câu trả lời chính và các câu hỏi xoáy; đầu ra là điểm gợi ý và nhận xét; Reporting đọc được kết quả đã lưu.</t>
  </si>
  <si>
    <t>BE-AI-04</t>
  </si>
  <si>
    <t>Mock chấm điểm AI</t>
  </si>
  <si>
    <t>Nhận câu trả lời, trả về điểm và nhận xét giả nhưng cố định (chạy lại vẫn ra cùng kết quả); sau này thay bằng LLM thật mà không phải sửa chỗ gọi.</t>
  </si>
  <si>
    <t>Lên P0 vì nằm trong gate M1.</t>
  </si>
  <si>
    <t>BE-AI-05</t>
  </si>
  <si>
    <t>API nộp câu trả lời + điều phối</t>
  </si>
  <si>
    <t>BE-PLAT-03, BE-AI-01, BE-AI-04, FOUNDATION-02</t>
  </si>
  <si>
    <t>POST /api/interview-attempts/{id}/responses nhận câu trả lời, lưu QuestionResponse/InterviewTurn, gọi mock chấm điểm, lưu AIEvaluation rồi trả điểm + nhận xét cho FE.</t>
  </si>
  <si>
    <t>Mới thêm: trước đây chưa ai làm API này nên gate M1 không thể qua.</t>
  </si>
  <si>
    <t>BE-AI-06</t>
  </si>
  <si>
    <t>Interface cho STT, TTS, LLM</t>
  </si>
  <si>
    <t>Có ISpeechToTextService, ITextToSpeechService, ILLMService kèm bản mock; code nghiệp vụ không phụ thuộc SDK của nhà cung cấp nào.</t>
  </si>
  <si>
    <t>Tách ra từ BE-PLAT-06 cũ, chuẩn bị cho M2.</t>
  </si>
  <si>
    <t>FE-INT-01</t>
  </si>
  <si>
    <t>Trang thi của sinh viên</t>
  </si>
  <si>
    <t>FOUNDATION-04, FE-PLAT-01</t>
  </si>
  <si>
    <t>Có route trang thi; hiện câu hỏi và trạng thái hiện tại; có ô trả lời cho M1; demo được trên máy tính.</t>
  </si>
  <si>
    <t>FE-INT-02</t>
  </si>
  <si>
    <t>State machine giao diện buổi thi</t>
  </si>
  <si>
    <t>FOUNDATION-01, BE-AI-01</t>
  </si>
  <si>
    <t>Có đủ các trạng thái WAITING / READY / QUESTION / LISTENING / PROCESSING / FOLLOW_UP / COMPLETED, khớp bộ trạng thái của BE-AI-01; chạy thử được bằng dữ liệu mock.</t>
  </si>
  <si>
    <t>FE-INT-03</t>
  </si>
  <si>
    <t>Đồng hồ đếm giờ</t>
  </si>
  <si>
    <t>Timer đếm theo giây cho từng lần trả lời (cả lần trả lời câu hỏi xoáy): chạy khi câu hỏi bắt đầu, hiện thời gian còn lại, hết giờ thì tự nộp, sang lần trả lời mới thì đếm lại.</t>
  </si>
  <si>
    <t>Lên P0 vì gate M1 có bước timer.</t>
  </si>
  <si>
    <t>FE-INT-04</t>
  </si>
  <si>
    <t>Gắn API tạo lượt thi</t>
  </si>
  <si>
    <t>FOUNDATION-02, FE-PLAT-02</t>
  </si>
  <si>
    <t>Gọi POST /api/interview-attempts theo contract (chạy với mock trước), giữ attemptId, hiện câu hỏi trả về, có trạng thái đang tải và báo lỗi.</t>
  </si>
  <si>
    <t>FE-INT-05</t>
  </si>
  <si>
    <t>Gõ và nộp câu trả lời (M1)</t>
  </si>
  <si>
    <t>FOUNDATION-02, FE-INT-04</t>
  </si>
  <si>
    <t>Sinh viên gõ và nộp câu trả lời, thấy trạng thái đang xử lý, rồi thấy điểm và nhận xét mock trả về (chỉ ở M1 để kiểm tra luồng; bản thật thì sinh viên chỉ thấy điểm sau khi giảng viên chốt).</t>
  </si>
  <si>
    <t>Lên P0. Sửa sau review 03/10: làm theo contract + mock, không phải chờ BE-AI-05. Ghép với API thật ở M1-01.</t>
  </si>
  <si>
    <t>FE-PLAT-01</t>
  </si>
  <si>
    <t>Routing và layout chung</t>
  </si>
  <si>
    <t>Có layout chung; route đăng nhập và trang thi chạy được; route báo cáo/admin để trống cũng được; điều hướng ổn.</t>
  </si>
  <si>
    <t>FE-PLAT-02</t>
  </si>
  <si>
    <t>API client dùng chung</t>
  </si>
  <si>
    <t>Một HTTP client dùng chung, base URL đọc từ file .env, xử lý lỗi thống nhất, trang thi dùng lại được.</t>
  </si>
  <si>
    <t>FE-PLAT-03</t>
  </si>
  <si>
    <t>Màn hình đăng nhập và lưu trạng thái đăng nhập</t>
  </si>
  <si>
    <t>FE-PLAT-01, FOUNDATION-02</t>
  </si>
  <si>
    <t>Đăng nhập bằng account name hoặc email + mật khẩu theo contract (chạy với mock trước); giữ trạng thái đăng nhập khi chuyển trang; chặn route theo role Student/Lecturer/Admin.</t>
  </si>
  <si>
    <t>Lên P0 vì gate M1 bắt đầu bằng bước đăng nhập. Sửa 06/10: làm theo contract + mock, ghép API thật ở M1-01.</t>
  </si>
  <si>
    <t>FE-PLAT-04</t>
  </si>
  <si>
    <t>Khung trang báo cáo</t>
  </si>
  <si>
    <t>Có route trang báo cáo, tạm hiện attemptId; sẵn sàng để M3 gắn dữ liệu thật.</t>
  </si>
  <si>
    <t>M1-01</t>
  </si>
  <si>
    <t>Ghép toàn bộ luồng M1</t>
  </si>
  <si>
    <t>FE-INT-01, FE-INT-02, FE-INT-03, FE-INT-04, FE-INT-05, FE-PLAT-01, FE-PLAT-02, FE-PLAT-03, BE-PLAT-01, BE-PLAT-02, BE-PLAT-03, BE-PLAT-04, BE-PLAT-06, BE-PLAT-07, BE-AI-04, BE-AI-05</t>
  </si>
  <si>
    <t>React → ASP.NET Core → PostgreSQL → React chạy thông: đăng nhập, tạo lượt thi, nhận câu hỏi, timer chạy, gõ câu trả lời, backend lưu, mock AI trả điểm + nhận xét, giao diện hiện kết quả (điểm mock chỉ để kiểm tra luồng); ai trong team cũng chạy được trên máy mình; bản khung đã deploy thử lên một môi trường có HTTPS.</t>
  </si>
  <si>
    <t>Roadmap &amp; điều kiện hoàn thành từng giai đoạn</t>
  </si>
  <si>
    <t>Mục tiêu</t>
  </si>
  <si>
    <t>Phạm vi chính</t>
  </si>
  <si>
    <t>Thống nhất cách hiểu trước khi code</t>
  </si>
  <si>
    <t>Luồng thi chuẩn; API/realtime contract; domain model theo ERD + class diagram; khung repo và module; bộ tài liệu thiết kế</t>
  </si>
  <si>
    <t>Cả 4 người thống nhất thuật ngữ, API/DTO, phân công và ranh giới module; FE làm được bằng mock</t>
  </si>
  <si>
    <t>In Progress</t>
  </si>
  <si>
    <t>Đang làm. Tài liệu thiết kế đã cập nhật theo các quyết định 06/10, chờ cả team xem lại</t>
  </si>
  <si>
    <t>Chứng minh kiến trúc chạy được từ đầu đến cuối</t>
  </si>
  <si>
    <t>React + ASP.NET Core + PostgreSQL; đăng nhập mật khẩu (hash + salt); dữ liệu phiên thi mẫu; câu hỏi mock; gõ câu trả lời; chấm điểm mock; deploy thử bản khung có HTTPS</t>
  </si>
  <si>
    <t>Sinh viên đăng nhập → mở trang thi → tạo lượt thi → nhận câu hỏi mock → timer chạy → gõ câu trả lời → backend lưu → mock AI trả điểm + nhận xét → giao diện hiện kết quả (điểm mock chỉ để kiểm tra luồng)</t>
  </si>
  <si>
    <t>M2, M3, M4 (chạy song song)</t>
  </si>
  <si>
    <t>Chưa cần STT/TTS/LLM thật. Điểm mock hiện ra ở M1 chỉ để kiểm tra luồng</t>
  </si>
  <si>
    <t>M2 — Phỏng vấn AI thích ứng &amp; duyệt điểm</t>
  </si>
  <si>
    <t>Làm phần AI tạo khác biệt và bước giảng viên chốt điểm (nhánh AI: FE Interview + BE AI Core)</t>
  </si>
  <si>
    <t>Micro/audio; STT; TTS; phân tích câu trả lời; hỏi xoáy; giới hạn thời gian mỗi lần trả lời (giây, tính cả lần trả lời câu hỏi xoáy) và số lần hỏi xoáy; AI gợi ý điểm theo rubric; giảng viên xem lại transcript, chỉnh và chốt điểm (một lần cho cả lượt thi); dừng ngay lượt đang làm khi phiên hết giờ (câu chưa trả lời tính 0 điểm)</t>
  </si>
  <si>
    <t>Sinh viên trả lời bằng giọng nói, hệ thống ra transcript, AI hỏi xoáy khi cần, điểm gợi ý theo rubric được lưu ở trạng thái chờ duyệt; giảng viên xem lại và chốt được điểm</t>
  </si>
  <si>
    <t>M5 — Ghép nối &amp; làm chắc</t>
  </si>
  <si>
    <t>Thay dần các phần mock của M1 bằng AI thật. Phần giảng viên duyệt điểm chuyển từ M3 sang (sau review 03/10) để hai nhánh chia việc đều hơn. 06/10: nhóm giữ cách chia này, lý do ở RISKS R-01</t>
  </si>
  <si>
    <t>M3 — Báo cáo &amp; thống kê</t>
  </si>
  <si>
    <t>Hoàn thành Feature 6 (nhánh Platform, song song với M2)</t>
  </si>
  <si>
    <t>Báo cáo cho sinh viên (ghi rõ điểm AI gợi ý từng câu và điểm cuối giảng viên chốt); kết quả từng sinh viên; thống kê lớp (chỉ tính lượt đã chốt); xuất bảng điểm theo mẫu trường (chỉ dùng điểm đã chốt)</t>
  </si>
  <si>
    <t>Báo cáo lấy từ điểm đã lưu, không gọi lại AI; sinh viên chỉ thấy điểm sau khi giảng viên chốt, trước đó chỉ thấy thông báo đang chờ duyệt</t>
  </si>
  <si>
    <t>Làm trước bằng dữ liệu điểm mẫu, không phải chờ M2</t>
  </si>
  <si>
    <t>M4 — Quản lý truy cập &amp; cấu hình phiên thi</t>
  </si>
  <si>
    <t>Hoàn thành Feature 7 (nhánh Platform, song song với M2)</t>
  </si>
  <si>
    <t>Đăng ký (xác nhận email); Google SSO (lần đầu tự tạo tài khoản, hỏi có tạo account name và mật khẩu không); link đặt tài khoản (đặt cả account name lẫn mật khẩu) và link đặt lại mật khẩu (chỉ đổi mật khẩu; tài khoản chưa có mật khẩu thì nhận link đặt tài khoản); cài đặt tài khoản (đổi username, liên kết Google); quản lý tài khoản; quản lý môn học và phân giảng viên vào môn; tạo phiên thi, nạp câu hỏi, rubric, danh sách sinh viên, khung giờ, thời gian trả lời, số lần hỏi xoáy; publish (cần ít nhất 1 câu hỏi, đủ rubric và ít nhất 1 sinh viên); cấu hình ngôn ngữ STT/TTS và AI provider; xem audit log; phiên tự đóng khi hết giờ; dòng danh sách sinh viên không khớp tài khoản thì bỏ qua và báo lại</t>
  </si>
  <si>
    <t>Giảng viên tự tạo và publish được phiên thi; chỉ sinh viên có tên trong danh sách mới vào thi được, trong khung giờ và mỗi người một lượt; admin cấu hình được mọi thứ; Student/Lecturer/Admin chỉ thấy đúng phần của mình</t>
  </si>
  <si>
    <t>Đăng nhập và phân quyền cơ bản đã có từ M1, M4 làm nốt phần còn lại</t>
  </si>
  <si>
    <t>Demo ổn định, chạy lại nhiều lần vẫn được (cả team)</t>
  </si>
  <si>
    <t>Ghép M2 + M3 + M4; kiểm thử tích hợp; xử lý lỗi; bảo mật; dữ liệu demo</t>
  </si>
  <si>
    <t>Giảng viên tạo phiên thi → sinh viên thi bằng giọng nói → AI gợi ý điểm → giảng viên chốt → báo cáo và thống kê: chạy ổn định nhiều lần</t>
  </si>
  <si>
    <t>Thuyết trình cuối kỳ</t>
  </si>
  <si>
    <t>Không còn phụ thuộc team khác vì phiên thi, câu hỏi và rubric do nhóm tự làm</t>
  </si>
  <si>
    <t>Phân vai &amp; cách phối hợp</t>
  </si>
  <si>
    <t>Vai trò</t>
  </si>
  <si>
    <t>Việc chính trong M1</t>
  </si>
  <si>
    <t>Không phụ trách</t>
  </si>
  <si>
    <t>Bàn giao chính</t>
  </si>
  <si>
    <t>Review</t>
  </si>
  <si>
    <t>Dấu hiệu làm tốt</t>
  </si>
  <si>
    <t>Trải nghiệm thi của sinh viên</t>
  </si>
  <si>
    <t>Trang thi, state machine giao diện, timer, gắn API tạo lượt thi và nộp câu trả lời</t>
  </si>
  <si>
    <t>Khung admin và trang báo cáo</t>
  </si>
  <si>
    <t>Dùng API/realtime contract do BE chốt; khớp bộ trạng thái với BE AI Core; từ M2 làm thêm màn giảng viên duyệt điểm</t>
  </si>
  <si>
    <t>Xem API của luồng thi có dễ dùng không</t>
  </si>
  <si>
    <t>Sinh viên đi hết luồng M1 mà không phải chỉnh tay chỗ nào</t>
  </si>
  <si>
    <t>Nền tảng frontend</t>
  </si>
  <si>
    <t>Routing/layout, API client dùng chung, màn hình đăng nhập, khung trang báo cáo</t>
  </si>
  <si>
    <t>Logic trạng thái của buổi thi</t>
  </si>
  <si>
    <t>Cung cấp phần dùng chung cho FE Interview</t>
  </si>
  <si>
    <t>Xem các pattern dùng chung ở FE</t>
  </si>
  <si>
    <t>Cả hai mảng FE dùng chung routing, API client và đăng nhập</t>
  </si>
  <si>
    <t>Phần thông minh của buổi thi</t>
  </si>
  <si>
    <t>Domain model, trạng thái buổi thi, contract phân tích và chấm điểm, mock chấm điểm, API nộp câu trả lời, interface STT/TTS/LLM</t>
  </si>
  <si>
    <t>Cài DB, hạ tầng chung</t>
  </si>
  <si>
    <t>Dùng contract chung; từ M2 làm STT/TTS/LLM thật và API giảng viên duyệt điểm</t>
  </si>
  <si>
    <t>Xem ranh giới các phần liên quan tới AI</t>
  </si>
  <si>
    <t>Phần AI tách riêng, test được, đổi từ mock sang AI thật mà không phải sửa chỗ gọi</t>
  </si>
  <si>
    <t>Ghép hệ thống + điều phối</t>
  </si>
  <si>
    <t>DB/migration, lưu dữ liệu, API tạo lượt thi, seed dữ liệu mẫu, đăng nhập + phân quyền, xử lý lỗi/log</t>
  </si>
  <si>
    <t>Logic prompt và quyết định của AI</t>
  </si>
  <si>
    <t>Giữ contract FE/BE khớp nhau; gỡ chỗ kẹt; điều phối lúc ghép M1</t>
  </si>
  <si>
    <t>Xem độ sẵn sàng khi ghép và thứ tự merge PR</t>
  </si>
  <si>
    <t>Cả hệ thống nối được với nhau, không ai bị kẹt vì contract chưa rõ</t>
  </si>
  <si>
    <t>Nguyên tắc phân vai</t>
  </si>
  <si>
    <t>BE AI Core trả lời câu hỏi "phần AI của buổi thi có chạy đúng không?". BE Platform/PM trả lời "cả hệ thống có nối với nhau đúng không, có ai đang kẹt không?". FE Interview lo trải nghiệm thi của sinh viên; FE Platform lo phần frontend dùng chung và các màn hình ngoài buổi thi. Mỗi người tự cập nhật trạng thái task của mảng mình, thấy thiếu task thì tự thêm vào tracker.</t>
  </si>
  <si>
    <t>Rủi ro &amp; phụ thuộc</t>
  </si>
  <si>
    <t>Rủi ro / phụ thuộc</t>
  </si>
  <si>
    <t>Loại</t>
  </si>
  <si>
    <t>Ảnh hưởng</t>
  </si>
  <si>
    <t>Khả năng xảy ra</t>
  </si>
  <si>
    <t>Cách giảm / việc tiếp theo</t>
  </si>
  <si>
    <t>Người theo dõi</t>
  </si>
  <si>
    <t>R-01</t>
  </si>
  <si>
    <t>Phạm vi lớn hơn dự tính vì nhóm tự làm phiên thi, câu hỏi và rubric</t>
  </si>
  <si>
    <t>Cao</t>
  </si>
  <si>
    <t>Trung bình</t>
  </si>
  <si>
    <t>M1 dùng dữ liệu mẫu (BE-PLAT-06); phần cấu hình phiên thi làm ở nhánh Platform, song song với M2. Sau review 03/10 chọn cách sửa gọn: nạp danh sách sinh viên giống nạp câu hỏi (chưa làm ghi danh theo môn), giảng viên chốt điểm một lần cho cả lượt thi. 06/10: M4 thêm đăng ký, đăng nhập Google lần đầu, cài đặt tài khoản và xem audit log nên nhánh Platform nặng thêm. Nhóm vẫn giữ cách chia nhánh vì M2 (STT, TTS, LLM, hỏi xoáy, duyệt điểm) khó và rủi ro nhất; việc thêm của Platform chủ yếu là màn hình CRUD và các luồng đăng nhập quen thuộc</t>
  </si>
  <si>
    <t>Open</t>
  </si>
  <si>
    <t>R-02</t>
  </si>
  <si>
    <t>Mỗi người gọi tên một kiểu (Exam Session với Interview Attempt, câu chính với câu xoáy)</t>
  </si>
  <si>
    <t>Kiến trúc</t>
  </si>
  <si>
    <t>Chốt FOUNDATION-01 trước khi chia nhánh code; dùng đúng tên trong use case, ERD và class diagram</t>
  </si>
  <si>
    <t>R-03</t>
  </si>
  <si>
    <t>Gộp phân tích câu trả lời và chấm điểm làm một</t>
  </si>
  <si>
    <t>Giữ 2 contract riêng (BE-AI-02, BE-AI-03) và 2 tiêu chí hoàn thành riêng ngay từ M1</t>
  </si>
  <si>
    <t>R-04</t>
  </si>
  <si>
    <t>Làm audio/STT realtime trước khi luồng cơ bản chạy được</t>
  </si>
  <si>
    <t>Chưa đụng micro/STT/TTS thật cho tới khi qua gate M1; deploy thử sớm có HTTPS vì trình duyệt chỉ cho dùng micro trên trang bảo mật</t>
  </si>
  <si>
    <t>R-05</t>
  </si>
  <si>
    <t>BE Platform/PM ôm quá nhiều việc nên thành chỗ nghẽn</t>
  </si>
  <si>
    <t>Nhóm</t>
  </si>
  <si>
    <t>Chuyển domain model, API nộp câu trả lời và interface AI sang BE AI Core; phần giảng viên duyệt điểm chuyển sang nhánh AI (M2); mỗi người tự quản task của mảng mình</t>
  </si>
  <si>
    <t>R-06</t>
  </si>
  <si>
    <t>Sửa câu hỏi hoặc rubric sau khi thi làm kết quả cũ bị lệch</t>
  </si>
  <si>
    <t>Nghiệp vụ</t>
  </si>
  <si>
    <t>Publish xong thì khoá câu hỏi và rubric; lượt thi lưu nguyên văn câu hỏi đã hỏi</t>
  </si>
  <si>
    <t>BE Platform + BE AI Core</t>
  </si>
  <si>
    <t>R-07</t>
  </si>
  <si>
    <t>Reporting gọi lại AI nên mỗi lần xem điểm lại khác</t>
  </si>
  <si>
    <t>Thấp</t>
  </si>
  <si>
    <t>Lưu AIEvaluation một lần; Reporting chỉ đọc kết quả đã lưu</t>
  </si>
  <si>
    <t>BE AI Core + BE Platform</t>
  </si>
  <si>
    <t>R-08</t>
  </si>
  <si>
    <t>Lộ mật khẩu, hoặc link email (xác nhận email, đặt account name và mật khẩu, đặt lại mật khẩu) bị dùng lại</t>
  </si>
  <si>
    <t>Bảo mật</t>
  </si>
  <si>
    <t>Chỉ lưu hash + salt (PBKDF2 có sẵn trong .NET, salt ngẫu nhiên cho từng người); token của link email chỉ lưu dạng hash, dùng một lần và có hạn; không báo email có tồn tại hay không</t>
  </si>
  <si>
    <t>Sửa sau review 03/10: làm theo contract + mock, không phải chờ BE-PLAT-04. Ghép với API thật ở M1-01.</t>
  </si>
  <si>
    <t>Hiệu</t>
  </si>
  <si>
    <t>DOC-02</t>
  </si>
  <si>
    <t>Foundation</t>
  </si>
  <si>
    <t>Class diagram – bài nộp môn 07/10</t>
  </si>
  <si>
    <t>P0</t>
  </si>
  <si>
    <t>Hiệu</t>
  </si>
  <si>
    <t>Whole Team</t>
  </si>
  <si>
    <t>DOC-01</t>
  </si>
  <si>
    <t>Phase 0 / M1</t>
  </si>
  <si>
    <t>Code Review</t>
  </si>
  <si>
    <t>ClassDiagram.drawio khớp ERD, use case và swimlane sau các quyết định 06/10 (17 class, 9 enum); 5 lượt đối chiếu chéo đều OK; cả team xem lại trước khi nộp.</t>
  </si>
  <si>
    <t>Hiệu làm. Bản review cho nhóm ở SWD2026/04_Review-nhom (tiếng Anh và tiếng Việt).</t>
  </si>
  <si>
    <t>FE-PLAT-05</t>
  </si>
  <si>
    <t>FE Platform</t>
  </si>
  <si>
    <t>UI/UX: giao diện frontend cơ bản – bài nộp môn 07/10</t>
  </si>
  <si>
    <t>P0</t>
  </si>
  <si>
    <t>Hiệu</t>
  </si>
  <si>
    <t>Whole Team</t>
  </si>
  <si>
    <t>DOC-01</t>
  </si>
  <si>
    <t>Phase 0 / M1</t>
  </si>
  <si>
    <t>Not Started</t>
  </si>
  <si>
    <t>Repo ai-oral-exam-web có giao diện cơ bản chạy được bằng dữ liệu mock cho các màn hình chính trong use case (đăng nhập và đăng ký, trang thi của sinh viên, trang giảng viên, trang admin); cả team xem lại trước khi nộp.</t>
  </si>
  <si>
    <t>Hiệu làm. Dùng lại được cho FE-PLAT-01, FE-PLAT-03 và FE-INT-01.</t>
  </si>
</sst>
</file>

<file path=xl/styles.xml><?xml version="1.0" encoding="utf-8"?>
<styleSheet xmlns="http://schemas.openxmlformats.org/spreadsheetml/2006/main" xmlns:mc="http://schemas.openxmlformats.org/markup-compatibility/2006" xmlns:xr9="http://schemas.microsoft.com/office/spreadsheetml/2016/revision9" mc:Ignorable="xr9">
  <numFmts count="5">
    <numFmt numFmtId="42" formatCode="_(&quot;$&quot;* #,##0_);_(&quot;$&quot;* \(#,##0\);_(&quot;$&quot;* &quot;-&quot;_);_(@_)"/>
    <numFmt numFmtId="44" formatCode="_(&quot;$&quot;* #,##0.00_);_(&quot;$&quot;* \(#,##0.00\);_(&quot;$&quot;* &quot;-&quot;??_);_(@_)"/>
    <numFmt numFmtId="176" formatCode="_ * #,##0.00_ ;_ * \-#,##0.00_ ;_ * &quot;-&quot;??_ ;_ @_ "/>
    <numFmt numFmtId="177" formatCode="_ * #,##0_ ;_ * \-#,##0_ ;_ * &quot;-&quot;_ ;_ @_ "/>
    <numFmt numFmtId="178" formatCode="yyyy\-mm\-dd"/>
  </numFmts>
  <fonts count="27">
    <font>
      <sz val="11"/>
      <name val="Carlito"/>
      <charset val="134"/>
    </font>
    <font>
      <b/>
      <sz val="16"/>
      <color rgb="FFFFFFFF"/>
      <name val="Aptos"/>
      <charset val="134"/>
    </font>
    <font>
      <sz val="11"/>
      <color rgb="FF1F2937"/>
      <name val="Aptos"/>
      <charset val="134"/>
    </font>
    <font>
      <b/>
      <sz val="11"/>
      <color rgb="FFFFFFFF"/>
      <name val="Aptos"/>
      <charset val="134"/>
    </font>
    <font>
      <b/>
      <sz val="11"/>
      <color rgb="FF1F2937"/>
      <name val="Aptos"/>
      <charset val="134"/>
    </font>
    <font>
      <b/>
      <sz val="11"/>
      <color rgb="FFFFFFFF"/>
      <name val="Carlito"/>
      <charset val="134"/>
    </font>
    <font>
      <b/>
      <sz val="14"/>
      <color rgb="FF1F2937"/>
      <name val="Aptos"/>
      <charset val="134"/>
    </font>
    <font>
      <sz val="11"/>
      <color theme="1"/>
      <name val="Calibri"/>
      <charset val="134"/>
      <scheme val="minor"/>
    </font>
    <font>
      <u/>
      <sz val="11"/>
      <color rgb="FF0000FF"/>
      <name val="Calibri"/>
      <charset val="0"/>
      <scheme val="minor"/>
    </font>
    <font>
      <u/>
      <sz val="11"/>
      <color rgb="FF800080"/>
      <name val="Calibri"/>
      <charset val="0"/>
      <scheme val="minor"/>
    </font>
    <font>
      <sz val="11"/>
      <color rgb="FFFF0000"/>
      <name val="Calibri"/>
      <charset val="0"/>
      <scheme val="minor"/>
    </font>
    <font>
      <b/>
      <sz val="18"/>
      <color theme="3"/>
      <name val="Calibri"/>
      <charset val="134"/>
      <scheme val="minor"/>
    </font>
    <font>
      <i/>
      <sz val="11"/>
      <color rgb="FF7F7F7F"/>
      <name val="Calibri"/>
      <charset val="0"/>
      <scheme val="minor"/>
    </font>
    <font>
      <b/>
      <sz val="15"/>
      <color theme="3"/>
      <name val="Calibri"/>
      <charset val="134"/>
      <scheme val="minor"/>
    </font>
    <font>
      <b/>
      <sz val="13"/>
      <color theme="3"/>
      <name val="Calibri"/>
      <charset val="134"/>
      <scheme val="minor"/>
    </font>
    <font>
      <b/>
      <sz val="11"/>
      <color theme="3"/>
      <name val="Calibri"/>
      <charset val="134"/>
      <scheme val="minor"/>
    </font>
    <font>
      <sz val="11"/>
      <color rgb="FF3F3F76"/>
      <name val="Calibri"/>
      <charset val="0"/>
      <scheme val="minor"/>
    </font>
    <font>
      <b/>
      <sz val="11"/>
      <color rgb="FF3F3F3F"/>
      <name val="Calibri"/>
      <charset val="0"/>
      <scheme val="minor"/>
    </font>
    <font>
      <b/>
      <sz val="11"/>
      <color rgb="FFFA7D00"/>
      <name val="Calibri"/>
      <charset val="0"/>
      <scheme val="minor"/>
    </font>
    <font>
      <b/>
      <sz val="11"/>
      <color rgb="FFFFFFFF"/>
      <name val="Calibri"/>
      <charset val="0"/>
      <scheme val="minor"/>
    </font>
    <font>
      <sz val="11"/>
      <color rgb="FFFA7D00"/>
      <name val="Calibri"/>
      <charset val="0"/>
      <scheme val="minor"/>
    </font>
    <font>
      <b/>
      <sz val="11"/>
      <color theme="1"/>
      <name val="Calibri"/>
      <charset val="0"/>
      <scheme val="minor"/>
    </font>
    <font>
      <sz val="11"/>
      <color rgb="FF006100"/>
      <name val="Calibri"/>
      <charset val="0"/>
      <scheme val="minor"/>
    </font>
    <font>
      <sz val="11"/>
      <color rgb="FF9C0006"/>
      <name val="Calibri"/>
      <charset val="0"/>
      <scheme val="minor"/>
    </font>
    <font>
      <sz val="11"/>
      <color rgb="FF9C6500"/>
      <name val="Calibri"/>
      <charset val="0"/>
      <scheme val="minor"/>
    </font>
    <font>
      <sz val="11"/>
      <color theme="0"/>
      <name val="Calibri"/>
      <charset val="0"/>
      <scheme val="minor"/>
    </font>
    <font>
      <sz val="11"/>
      <color theme="1"/>
      <name val="Calibri"/>
      <charset val="0"/>
      <scheme val="minor"/>
    </font>
  </fonts>
  <fills count="38">
    <fill>
      <patternFill patternType="none"/>
    </fill>
    <fill>
      <patternFill patternType="gray125"/>
    </fill>
    <fill>
      <patternFill patternType="solid">
        <fgColor rgb="FF17324D"/>
        <bgColor indexed="64"/>
      </patternFill>
    </fill>
    <fill>
      <patternFill patternType="solid">
        <fgColor rgb="FF2E5D7B"/>
        <bgColor indexed="64"/>
      </patternFill>
    </fill>
    <fill>
      <patternFill patternType="solid">
        <fgColor rgb="FFDCEAF7"/>
        <bgColor indexed="64"/>
      </patternFill>
    </fill>
    <fill>
      <patternFill patternType="solid">
        <fgColor rgb="FFF7F9FC"/>
        <bgColor indexed="64"/>
      </patternFill>
    </fill>
    <fill>
      <patternFill patternType="solid">
        <fgColor rgb="FFDDF4EE"/>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9">
    <border>
      <left/>
      <right/>
      <top/>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xf numFmtId="176" fontId="7" fillId="0" borderId="0" applyFont="0" applyFill="0" applyBorder="0" applyAlignment="0" applyProtection="0">
      <alignment vertical="center"/>
    </xf>
    <xf numFmtId="44" fontId="7" fillId="0" borderId="0" applyFont="0" applyFill="0" applyBorder="0" applyAlignment="0" applyProtection="0">
      <alignment vertical="center"/>
    </xf>
    <xf numFmtId="9" fontId="7" fillId="0" borderId="0" applyFont="0" applyFill="0" applyBorder="0" applyAlignment="0" applyProtection="0">
      <alignment vertical="center"/>
    </xf>
    <xf numFmtId="177" fontId="7" fillId="0" borderId="0" applyFont="0" applyFill="0" applyBorder="0" applyAlignment="0" applyProtection="0">
      <alignment vertical="center"/>
    </xf>
    <xf numFmtId="42" fontId="7" fillId="0" borderId="0" applyFont="0" applyFill="0" applyBorder="0" applyAlignment="0" applyProtection="0">
      <alignment vertical="center"/>
    </xf>
    <xf numFmtId="0" fontId="8"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7" fillId="7" borderId="1" applyNumberFormat="0" applyFont="0" applyAlignment="0" applyProtection="0">
      <alignment vertical="center"/>
    </xf>
    <xf numFmtId="0" fontId="10" fillId="0" borderId="0" applyNumberFormat="0" applyFill="0" applyBorder="0" applyAlignment="0" applyProtection="0">
      <alignment vertical="center"/>
    </xf>
    <xf numFmtId="0" fontId="11" fillId="0" borderId="0" applyNumberFormat="0" applyFill="0" applyBorder="0" applyAlignment="0" applyProtection="0">
      <alignment vertical="center"/>
    </xf>
    <xf numFmtId="0" fontId="12" fillId="0" borderId="0" applyNumberFormat="0" applyFill="0" applyBorder="0" applyAlignment="0" applyProtection="0">
      <alignment vertical="center"/>
    </xf>
    <xf numFmtId="0" fontId="13" fillId="0" borderId="2" applyNumberFormat="0" applyFill="0" applyAlignment="0" applyProtection="0">
      <alignment vertical="center"/>
    </xf>
    <xf numFmtId="0" fontId="14" fillId="0" borderId="2" applyNumberFormat="0" applyFill="0" applyAlignment="0" applyProtection="0">
      <alignment vertical="center"/>
    </xf>
    <xf numFmtId="0" fontId="15" fillId="0" borderId="3" applyNumberFormat="0" applyFill="0" applyAlignment="0" applyProtection="0">
      <alignment vertical="center"/>
    </xf>
    <xf numFmtId="0" fontId="15" fillId="0" borderId="0" applyNumberFormat="0" applyFill="0" applyBorder="0" applyAlignment="0" applyProtection="0">
      <alignment vertical="center"/>
    </xf>
    <xf numFmtId="0" fontId="16" fillId="8" borderId="4" applyNumberFormat="0" applyAlignment="0" applyProtection="0">
      <alignment vertical="center"/>
    </xf>
    <xf numFmtId="0" fontId="17" fillId="9" borderId="5" applyNumberFormat="0" applyAlignment="0" applyProtection="0">
      <alignment vertical="center"/>
    </xf>
    <xf numFmtId="0" fontId="18" fillId="9" borderId="4" applyNumberFormat="0" applyAlignment="0" applyProtection="0">
      <alignment vertical="center"/>
    </xf>
    <xf numFmtId="0" fontId="19" fillId="10" borderId="6" applyNumberFormat="0" applyAlignment="0" applyProtection="0">
      <alignment vertical="center"/>
    </xf>
    <xf numFmtId="0" fontId="20" fillId="0" borderId="7" applyNumberFormat="0" applyFill="0" applyAlignment="0" applyProtection="0">
      <alignment vertical="center"/>
    </xf>
    <xf numFmtId="0" fontId="21" fillId="0" borderId="8" applyNumberFormat="0" applyFill="0" applyAlignment="0" applyProtection="0">
      <alignment vertical="center"/>
    </xf>
    <xf numFmtId="0" fontId="22" fillId="11" borderId="0" applyNumberFormat="0" applyBorder="0" applyAlignment="0" applyProtection="0">
      <alignment vertical="center"/>
    </xf>
    <xf numFmtId="0" fontId="23" fillId="12" borderId="0" applyNumberFormat="0" applyBorder="0" applyAlignment="0" applyProtection="0">
      <alignment vertical="center"/>
    </xf>
    <xf numFmtId="0" fontId="24" fillId="13" borderId="0" applyNumberFormat="0" applyBorder="0" applyAlignment="0" applyProtection="0">
      <alignment vertical="center"/>
    </xf>
    <xf numFmtId="0" fontId="25" fillId="14" borderId="0" applyNumberFormat="0" applyBorder="0" applyAlignment="0" applyProtection="0">
      <alignment vertical="center"/>
    </xf>
    <xf numFmtId="0" fontId="26" fillId="15" borderId="0" applyNumberFormat="0" applyBorder="0" applyAlignment="0" applyProtection="0">
      <alignment vertical="center"/>
    </xf>
    <xf numFmtId="0" fontId="26" fillId="16" borderId="0" applyNumberFormat="0" applyBorder="0" applyAlignment="0" applyProtection="0">
      <alignment vertical="center"/>
    </xf>
    <xf numFmtId="0" fontId="25" fillId="17" borderId="0" applyNumberFormat="0" applyBorder="0" applyAlignment="0" applyProtection="0">
      <alignment vertical="center"/>
    </xf>
    <xf numFmtId="0" fontId="25" fillId="18" borderId="0" applyNumberFormat="0" applyBorder="0" applyAlignment="0" applyProtection="0">
      <alignment vertical="center"/>
    </xf>
    <xf numFmtId="0" fontId="26" fillId="19" borderId="0" applyNumberFormat="0" applyBorder="0" applyAlignment="0" applyProtection="0">
      <alignment vertical="center"/>
    </xf>
    <xf numFmtId="0" fontId="26" fillId="20" borderId="0" applyNumberFormat="0" applyBorder="0" applyAlignment="0" applyProtection="0">
      <alignment vertical="center"/>
    </xf>
    <xf numFmtId="0" fontId="25" fillId="21" borderId="0" applyNumberFormat="0" applyBorder="0" applyAlignment="0" applyProtection="0">
      <alignment vertical="center"/>
    </xf>
    <xf numFmtId="0" fontId="25" fillId="22" borderId="0" applyNumberFormat="0" applyBorder="0" applyAlignment="0" applyProtection="0">
      <alignment vertical="center"/>
    </xf>
    <xf numFmtId="0" fontId="26" fillId="23" borderId="0" applyNumberFormat="0" applyBorder="0" applyAlignment="0" applyProtection="0">
      <alignment vertical="center"/>
    </xf>
    <xf numFmtId="0" fontId="26" fillId="24" borderId="0" applyNumberFormat="0" applyBorder="0" applyAlignment="0" applyProtection="0">
      <alignment vertical="center"/>
    </xf>
    <xf numFmtId="0" fontId="25" fillId="25" borderId="0" applyNumberFormat="0" applyBorder="0" applyAlignment="0" applyProtection="0">
      <alignment vertical="center"/>
    </xf>
    <xf numFmtId="0" fontId="25" fillId="26" borderId="0" applyNumberFormat="0" applyBorder="0" applyAlignment="0" applyProtection="0">
      <alignment vertical="center"/>
    </xf>
    <xf numFmtId="0" fontId="26" fillId="27" borderId="0" applyNumberFormat="0" applyBorder="0" applyAlignment="0" applyProtection="0">
      <alignment vertical="center"/>
    </xf>
    <xf numFmtId="0" fontId="26" fillId="28" borderId="0" applyNumberFormat="0" applyBorder="0" applyAlignment="0" applyProtection="0">
      <alignment vertical="center"/>
    </xf>
    <xf numFmtId="0" fontId="25" fillId="29" borderId="0" applyNumberFormat="0" applyBorder="0" applyAlignment="0" applyProtection="0">
      <alignment vertical="center"/>
    </xf>
    <xf numFmtId="0" fontId="25" fillId="30" borderId="0" applyNumberFormat="0" applyBorder="0" applyAlignment="0" applyProtection="0">
      <alignment vertical="center"/>
    </xf>
    <xf numFmtId="0" fontId="26" fillId="31" borderId="0" applyNumberFormat="0" applyBorder="0" applyAlignment="0" applyProtection="0">
      <alignment vertical="center"/>
    </xf>
    <xf numFmtId="0" fontId="26" fillId="32" borderId="0" applyNumberFormat="0" applyBorder="0" applyAlignment="0" applyProtection="0">
      <alignment vertical="center"/>
    </xf>
    <xf numFmtId="0" fontId="25" fillId="33" borderId="0" applyNumberFormat="0" applyBorder="0" applyAlignment="0" applyProtection="0">
      <alignment vertical="center"/>
    </xf>
    <xf numFmtId="0" fontId="25" fillId="34" borderId="0" applyNumberFormat="0" applyBorder="0" applyAlignment="0" applyProtection="0">
      <alignment vertical="center"/>
    </xf>
    <xf numFmtId="0" fontId="26" fillId="35" borderId="0" applyNumberFormat="0" applyBorder="0" applyAlignment="0" applyProtection="0">
      <alignment vertical="center"/>
    </xf>
    <xf numFmtId="0" fontId="26" fillId="36" borderId="0" applyNumberFormat="0" applyBorder="0" applyAlignment="0" applyProtection="0">
      <alignment vertical="center"/>
    </xf>
    <xf numFmtId="0" fontId="25" fillId="37" borderId="0" applyNumberFormat="0" applyBorder="0" applyAlignment="0" applyProtection="0">
      <alignment vertical="center"/>
    </xf>
  </cellStyleXfs>
  <cellXfs count="17">
    <xf numFmtId="0" fontId="0" fillId="0" borderId="0" xfId="0"/>
    <xf numFmtId="0" fontId="1" fillId="2" borderId="0" xfId="0" applyNumberFormat="1" applyFont="1" applyFill="1" applyBorder="1" applyAlignment="1">
      <alignment horizontal="left" vertical="center"/>
    </xf>
    <xf numFmtId="0" fontId="2" fillId="0" borderId="0" xfId="0" applyNumberFormat="1" applyFont="1" applyFill="1" applyBorder="1"/>
    <xf numFmtId="0" fontId="3" fillId="3" borderId="0" xfId="0" applyNumberFormat="1" applyFont="1" applyFill="1" applyBorder="1" applyAlignment="1">
      <alignment horizontal="center" vertical="center" wrapText="1"/>
    </xf>
    <xf numFmtId="0" fontId="2" fillId="0" borderId="0" xfId="0" applyNumberFormat="1" applyFont="1" applyFill="1" applyBorder="1" applyAlignment="1">
      <alignment vertical="top" wrapText="1"/>
    </xf>
    <xf numFmtId="0" fontId="4" fillId="4" borderId="0" xfId="0" applyNumberFormat="1" applyFont="1" applyFill="1" applyBorder="1" applyAlignment="1">
      <alignment vertical="center"/>
    </xf>
    <xf numFmtId="0" fontId="2" fillId="5" borderId="0" xfId="0" applyNumberFormat="1" applyFont="1" applyFill="1" applyBorder="1" applyAlignment="1">
      <alignment vertical="top" wrapText="1"/>
    </xf>
    <xf numFmtId="9" fontId="2" fillId="0" borderId="0" xfId="0" applyNumberFormat="1" applyFont="1" applyFill="1" applyBorder="1" applyAlignment="1">
      <alignment vertical="top" wrapText="1"/>
    </xf>
    <xf numFmtId="0" fontId="5" fillId="3" borderId="0" xfId="0" applyNumberFormat="1" applyFont="1" applyFill="1" applyBorder="1" applyAlignment="1">
      <alignment horizontal="center" vertical="center" wrapText="1"/>
    </xf>
    <xf numFmtId="0" fontId="0" fillId="0" borderId="0" xfId="0" applyNumberFormat="1" applyFont="1" applyFill="1" applyBorder="1" applyAlignment="1">
      <alignment vertical="top" wrapText="1"/>
    </xf>
    <xf numFmtId="9" fontId="0" fillId="0" borderId="0" xfId="0" applyNumberFormat="1" applyFont="1" applyFill="1" applyBorder="1" applyAlignment="1">
      <alignment vertical="top" wrapText="1"/>
    </xf>
    <xf numFmtId="178" fontId="0" fillId="0" borderId="0" xfId="0" applyNumberFormat="1" applyFont="1" applyFill="1" applyBorder="1" applyAlignment="1">
      <alignment vertical="top" wrapText="1"/>
    </xf>
    <xf numFmtId="0" fontId="4" fillId="4" borderId="0" xfId="0" applyNumberFormat="1" applyFont="1" applyFill="1" applyBorder="1" applyAlignment="1">
      <alignment horizontal="center"/>
    </xf>
    <xf numFmtId="0" fontId="6" fillId="6" borderId="0" xfId="0" applyNumberFormat="1" applyFont="1" applyFill="1" applyBorder="1" applyAlignment="1">
      <alignment horizontal="center"/>
    </xf>
    <xf numFmtId="9" fontId="6" fillId="6" borderId="0" xfId="0" applyNumberFormat="1" applyFont="1" applyFill="1" applyBorder="1" applyAlignment="1">
      <alignment horizontal="center"/>
    </xf>
    <xf numFmtId="9" fontId="2" fillId="0" borderId="0" xfId="0" applyNumberFormat="1" applyFont="1" applyFill="1" applyBorder="1"/>
    <xf numFmtId="0" fontId="2" fillId="0" borderId="0" xfId="0" applyNumberFormat="1" applyFont="1" applyFill="1" applyBorder="1" applyAlignment="1">
      <alignment wrapText="1"/>
    </xf>
  </cellXfs>
  <cellStyles count="49">
    <cellStyle name="Normal" xfId="0" builtinId="0"/>
    <cellStyle name="Comma" xfId="1" builtinId="3"/>
    <cellStyle name="Currency" xfId="2" builtinId="4"/>
    <cellStyle name="Percent" xfId="3" builtinId="5"/>
    <cellStyle name="Comma [0]" xfId="4" builtinId="6"/>
    <cellStyle name="Currency [0]" xfId="5" builtinId="7"/>
    <cellStyle name="Link" xfId="6" builtinId="8"/>
    <cellStyle name="Followed Hyperlink" xfId="7" builtinId="9"/>
    <cellStyle name="Note" xfId="8" builtinId="10"/>
    <cellStyle name="Warning Text" xfId="9" builtinId="11"/>
    <cellStyle name="Title" xfId="10" builtinId="15"/>
    <cellStyle name="CExplanatory Text" xfId="11" builtinId="53"/>
    <cellStyle name="Heading 1" xfId="12" builtinId="16"/>
    <cellStyle name="Heading 2" xfId="13" builtinId="17"/>
    <cellStyle name="Heading 3" xfId="14" builtinId="18"/>
    <cellStyle name="Heading 4" xfId="15" builtinId="19"/>
    <cellStyle name="Input" xfId="16" builtinId="20"/>
    <cellStyle name="Output" xfId="17" builtinId="21"/>
    <cellStyle name="Calculation" xfId="18" builtinId="22"/>
    <cellStyle name="Check Cell" xfId="19" builtinId="23"/>
    <cellStyle name="Linked Cell" xfId="20" builtinId="24"/>
    <cellStyle name="Total" xfId="21" builtinId="25"/>
    <cellStyle name="Good" xfId="22" builtinId="26"/>
    <cellStyle name="Bad" xfId="23" builtinId="27"/>
    <cellStyle name="Neutral" xfId="24" builtinId="28"/>
    <cellStyle name="Accent1" xfId="25" builtinId="29"/>
    <cellStyle name="20% - Accent1" xfId="26" builtinId="30"/>
    <cellStyle name="40% - Accent1" xfId="27" builtinId="31"/>
    <cellStyle name="60% - Accent1" xfId="28" builtinId="32"/>
    <cellStyle name="Accent2" xfId="29" builtinId="33"/>
    <cellStyle name="20% - Accent2" xfId="30" builtinId="34"/>
    <cellStyle name="40% - Accent2" xfId="31" builtinId="35"/>
    <cellStyle name="60% - Accent2" xfId="32" builtinId="36"/>
    <cellStyle name="Accent3" xfId="33" builtinId="37"/>
    <cellStyle name="20% - Accent3" xfId="34" builtinId="38"/>
    <cellStyle name="40% - Accent3" xfId="35" builtinId="39"/>
    <cellStyle name="60% - Accent3" xfId="36" builtinId="40"/>
    <cellStyle name="Accent4" xfId="37" builtinId="41"/>
    <cellStyle name="20% - Accent4" xfId="38" builtinId="42"/>
    <cellStyle name="40% - Accent4" xfId="39" builtinId="43"/>
    <cellStyle name="60% - Accent4" xfId="40" builtinId="44"/>
    <cellStyle name="Accent5" xfId="41" builtinId="45"/>
    <cellStyle name="20% - Accent5" xfId="42" builtinId="46"/>
    <cellStyle name="40% - Accent5" xfId="43" builtinId="47"/>
    <cellStyle name="60% - Accent5" xfId="44" builtinId="48"/>
    <cellStyle name="Accent6" xfId="45" builtinId="49"/>
    <cellStyle name="20% - Accent6" xfId="46" builtinId="50"/>
    <cellStyle name="40% - Accent6" xfId="47" builtinId="51"/>
    <cellStyle name="60% - Accent6" xfId="48" builtinId="52"/>
  </cellStyles>
  <dxfs count="19">
    <dxf>
      <font>
        <b val="1"/>
        <color rgb="FF8A1C1C"/>
      </font>
      <fill>
        <patternFill patternType="solid">
          <bgColor rgb="FFF8D7DA"/>
        </patternFill>
      </fill>
    </dxf>
    <dxf>
      <font>
        <b val="1"/>
        <color rgb="FF274E13"/>
      </font>
      <fill>
        <patternFill patternType="solid">
          <bgColor rgb="FFD9EAD3"/>
        </patternFill>
      </fill>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xr9:uid="{59DB682C-5494-4EDE-A608-00C9E5F0F923}">
      <tableStyleElement type="wholeTable" dxfId="8"/>
      <tableStyleElement type="headerRow" dxfId="7"/>
      <tableStyleElement type="totalRow" dxfId="6"/>
      <tableStyleElement type="firstColumn" dxfId="5"/>
      <tableStyleElement type="lastColumn" dxfId="4"/>
      <tableStyleElement type="firstRowStripe" dxfId="3"/>
      <tableStyleElement type="firstColumnStripe" dxfId="2"/>
    </tableStyle>
    <tableStyle name="PivotStylePreset2_Accent1" table="0" count="10" xr9:uid="{267968C8-6FFD-4C36-ACC1-9EA1FD1885CA}">
      <tableStyleElement type="headerRow" dxfId="18"/>
      <tableStyleElement type="totalRow" dxfId="17"/>
      <tableStyleElement type="firstRowStripe" dxfId="16"/>
      <tableStyleElement type="firstColumnStripe" dxfId="15"/>
      <tableStyleElement type="firstSubtotalRow" dxfId="14"/>
      <tableStyleElement type="secondSubtotalRow" dxfId="13"/>
      <tableStyleElement type="firstRowSubheading" dxfId="12"/>
      <tableStyleElement type="secondRowSubheading" dxfId="11"/>
      <tableStyleElement type="pageFieldLabels" dxfId="10"/>
      <tableStyleElement type="pageFieldValues" dxfId="9"/>
    </tableStyle>
  </tableStyle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9" Type="http://schemas.openxmlformats.org/officeDocument/2006/relationships/styles" Target="styles.xml"/><Relationship Id="rId8" Type="http://schemas.openxmlformats.org/officeDocument/2006/relationships/sharedStrings" Target="sharedStrings.xml"/><Relationship Id="rId7" Type="http://schemas.openxmlformats.org/officeDocument/2006/relationships/theme" Target="theme/theme1.xml"/><Relationship Id="rId6" Type="http://schemas.openxmlformats.org/officeDocument/2006/relationships/worksheet" Target="worksheets/sheet6.xml"/><Relationship Id="rId5" Type="http://schemas.openxmlformats.org/officeDocument/2006/relationships/worksheet" Target="worksheets/sheet5.xml"/><Relationship Id="rId4" Type="http://schemas.openxmlformats.org/officeDocument/2006/relationships/worksheet" Target="worksheets/sheet4.xml"/><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s>
</file>

<file path=xl/charts/chart1.xml><?xml version="1.0" encoding="utf-8"?>
<c:chartSpace xmlns:c="http://schemas.openxmlformats.org/drawingml/2006/chart" xmlns:a="http://schemas.openxmlformats.org/drawingml/2006/main" xmlns:r="http://schemas.openxmlformats.org/officeDocument/2006/relationships">
  <c:date1904 val="0"/>
  <c:lang val="zh-CN"/>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0" vertOverflow="ellipsis" vert="horz" wrap="square" anchor="ctr" anchorCtr="1"/>
          <a:lstStyle/>
          <a:p>
            <a:pPr>
              <a:defRPr lang="en-GB" sz="1800" b="1" i="0" u="none" strike="noStrike" kern="1200" baseline="0">
                <a:solidFill>
                  <a:schemeClr val="tx1"/>
                </a:solidFill>
                <a:latin typeface="+mn-lt"/>
                <a:ea typeface="+mn-ea"/>
                <a:cs typeface="+mn-cs"/>
              </a:defRPr>
            </a:pPr>
            <a:r>
              <a:t>Task M1 theo từng mảng</a:t>
            </a:r>
          </a:p>
        </c:rich>
      </c:tx>
      <c:layout/>
      <c:overlay val="0"/>
    </c:title>
    <c:autoTitleDeleted val="0"/>
    <c:plotArea>
      <c:layout/>
      <c:barChart>
        <c:barDir val="col"/>
        <c:grouping val="none"/>
        <c:varyColors val="0"/>
        <c:ser>
          <c:idx val="0"/>
          <c:order val="0"/>
          <c:tx>
            <c:strRef>
              <c:f>"Tổng task"</c:f>
              <c:strCache>
                <c:ptCount val="1"/>
                <c:pt idx="0">
                  <c:v>Tổng task</c:v>
                </c:pt>
              </c:strCache>
            </c:strRef>
          </c:tx>
          <c:invertIfNegative val="0"/>
          <c:dLbls>
            <c:delete val="1"/>
          </c:dLbls>
          <c:cat>
            <c:strRef>
              <c:f>DASHBOARD!$A$10:$A$15</c:f>
              <c:strCache>
                <c:ptCount val="6"/>
                <c:pt idx="0">
                  <c:v>Foundation</c:v>
                </c:pt>
                <c:pt idx="1">
                  <c:v>BE Platform</c:v>
                </c:pt>
                <c:pt idx="2">
                  <c:v>BE AI Core</c:v>
                </c:pt>
                <c:pt idx="3">
                  <c:v>FE Interview</c:v>
                </c:pt>
                <c:pt idx="4">
                  <c:v>FE Platform</c:v>
                </c:pt>
                <c:pt idx="5">
                  <c:v>M1 Integration</c:v>
                </c:pt>
              </c:strCache>
            </c:strRef>
          </c:cat>
          <c:val>
            <c:numRef>
              <c:f>DASHBOARD!$B$10:$B$15</c:f>
              <c:numCache>
                <c:formatCode>General</c:formatCode>
                <c:ptCount val="6"/>
                <c:pt idx="0">
                  <c:v>6</c:v>
                </c:pt>
                <c:pt idx="1">
                  <c:v>7</c:v>
                </c:pt>
                <c:pt idx="2">
                  <c:v>6</c:v>
                </c:pt>
                <c:pt idx="3">
                  <c:v>5</c:v>
                </c:pt>
                <c:pt idx="4">
                  <c:v>5</c:v>
                </c:pt>
                <c:pt idx="5">
                  <c:v>1</c:v>
                </c:pt>
              </c:numCache>
            </c:numRef>
          </c:val>
        </c:ser>
        <c:ser>
          <c:idx val="1"/>
          <c:order val="1"/>
          <c:tx>
            <c:strRef>
              <c:f>"Xong"</c:f>
              <c:strCache>
                <c:ptCount val="1"/>
                <c:pt idx="0">
                  <c:v>Xong</c:v>
                </c:pt>
              </c:strCache>
            </c:strRef>
          </c:tx>
          <c:invertIfNegative val="0"/>
          <c:dLbls>
            <c:delete val="1"/>
          </c:dLbls>
          <c:cat>
            <c:strRef>
              <c:f>DASHBOARD!$A$10:$A$15</c:f>
              <c:strCache>
                <c:ptCount val="6"/>
                <c:pt idx="0">
                  <c:v>Foundation</c:v>
                </c:pt>
                <c:pt idx="1">
                  <c:v>BE Platform</c:v>
                </c:pt>
                <c:pt idx="2">
                  <c:v>BE AI Core</c:v>
                </c:pt>
                <c:pt idx="3">
                  <c:v>FE Interview</c:v>
                </c:pt>
                <c:pt idx="4">
                  <c:v>FE Platform</c:v>
                </c:pt>
                <c:pt idx="5">
                  <c:v>M1 Integration</c:v>
                </c:pt>
              </c:strCache>
            </c:strRef>
          </c:cat>
          <c:val>
            <c:numRef>
              <c:f>DASHBOARD!$C$10:$C$15</c:f>
              <c:numCache>
                <c:formatCode>General</c:formatCode>
                <c:ptCount val="6"/>
                <c:pt idx="0">
                  <c:v>0</c:v>
                </c:pt>
                <c:pt idx="1">
                  <c:v>0</c:v>
                </c:pt>
                <c:pt idx="2">
                  <c:v>0</c:v>
                </c:pt>
                <c:pt idx="3">
                  <c:v>0</c:v>
                </c:pt>
                <c:pt idx="4">
                  <c:v>0</c:v>
                </c:pt>
                <c:pt idx="5">
                  <c:v>0</c:v>
                </c:pt>
              </c:numCache>
            </c:numRef>
          </c:val>
        </c:ser>
        <c:dLbls>
          <c:showLegendKey val="0"/>
          <c:showVal val="0"/>
          <c:showCatName val="0"/>
          <c:showSerName val="0"/>
          <c:showPercent val="0"/>
          <c:showBubbleSize val="0"/>
        </c:dLbls>
        <c:gapWidth val="150"/>
        <c:axId val="48650112"/>
        <c:axId val="48672768"/>
      </c:barChart>
      <c:catAx>
        <c:axId val="48650112"/>
        <c:scaling>
          <c:orientation val="minMax"/>
        </c:scaling>
        <c:delete val="0"/>
        <c:axPos val="b"/>
        <c:majorGridlines>
          <c:spPr>
            <a:ln w="9525">
              <a:solidFill>
                <a:srgbClr val="CCCCCC"/>
              </a:solidFill>
              <a:prstDash val="dash"/>
              <a:round/>
            </a:ln>
          </c:spPr>
        </c:majorGridlines>
        <c:numFmt formatCode="General" sourceLinked="1"/>
        <c:majorTickMark val="none"/>
        <c:minorTickMark val="none"/>
        <c:tickLblPos val="nextTo"/>
        <c:txPr>
          <a:bodyPr rot="-60000000" spcFirstLastPara="0" vertOverflow="ellipsis" vert="horz" wrap="square" anchor="ctr" anchorCtr="1"/>
          <a:lstStyle/>
          <a:p>
            <a:pPr>
              <a:defRPr lang="en-GB" sz="1000" b="0" i="0" u="none" strike="noStrike" kern="1200" baseline="0">
                <a:solidFill>
                  <a:schemeClr val="tx1"/>
                </a:solidFill>
                <a:latin typeface="+mn-lt"/>
                <a:ea typeface="+mn-ea"/>
                <a:cs typeface="+mn-cs"/>
              </a:defRPr>
            </a:pPr>
          </a:p>
        </c:txPr>
        <c:crossAx val="48672768"/>
        <c:crosses val="autoZero"/>
        <c:auto val="1"/>
        <c:lblAlgn val="ctr"/>
        <c:lblOffset val="100"/>
        <c:noMultiLvlLbl val="0"/>
      </c:catAx>
      <c:valAx>
        <c:axId val="48672768"/>
        <c:scaling>
          <c:orientation val="minMax"/>
        </c:scaling>
        <c:delete val="0"/>
        <c:axPos val="l"/>
        <c:majorGridlines>
          <c:spPr>
            <a:ln w="9525">
              <a:solidFill>
                <a:srgbClr val="CCCCCC"/>
              </a:solidFill>
              <a:prstDash val="dash"/>
              <a:round/>
            </a:ln>
          </c:spPr>
        </c:majorGridlines>
        <c:numFmt formatCode="General" sourceLinked="1"/>
        <c:majorTickMark val="none"/>
        <c:minorTickMark val="none"/>
        <c:tickLblPos val="nextTo"/>
        <c:txPr>
          <a:bodyPr rot="-60000000" spcFirstLastPara="0" vertOverflow="ellipsis" vert="horz" wrap="square" anchor="ctr" anchorCtr="1"/>
          <a:lstStyle/>
          <a:p>
            <a:pPr>
              <a:defRPr lang="en-GB" sz="1000" b="0" i="0" u="none" strike="noStrike" kern="1200" baseline="0">
                <a:solidFill>
                  <a:schemeClr val="tx1"/>
                </a:solidFill>
                <a:latin typeface="+mn-lt"/>
                <a:ea typeface="+mn-ea"/>
                <a:cs typeface="+mn-cs"/>
              </a:defRPr>
            </a:pPr>
          </a:p>
        </c:txPr>
        <c:crossAx val="48650112"/>
        <c:crosses val="autoZero"/>
        <c:crossBetween val="between"/>
      </c:valAx>
    </c:plotArea>
    <c:legend>
      <c:legendPos val="b"/>
      <c:layout/>
      <c:overlay val="0"/>
      <c:txPr>
        <a:bodyPr rot="0" spcFirstLastPara="0" vertOverflow="ellipsis" vert="horz" wrap="square" anchor="ctr" anchorCtr="1"/>
        <a:lstStyle/>
        <a:p>
          <a:pPr>
            <a:defRPr lang="en-GB" sz="1000" b="0" i="0" u="none" strike="noStrike" kern="1200" baseline="0">
              <a:solidFill>
                <a:schemeClr val="tx1"/>
              </a:solidFill>
              <a:latin typeface="+mn-lt"/>
              <a:ea typeface="+mn-ea"/>
              <a:cs typeface="+mn-cs"/>
            </a:defRPr>
          </a:pPr>
        </a:p>
      </c:txPr>
    </c:legend>
    <c:plotVisOnly val="1"/>
    <c:dispBlanksAs val="gap"/>
    <c:showDLblsOverMax val="0"/>
    <c:extLst>
      <c:ext uri="{0b15fc19-7d7d-44ad-8c2d-2c3a37ce22c3}">
        <chartProps xmlns="https://web.wps.cn/et/2018/main" chartId="{e2652d3f-b110-420e-aaf2-941cb124091b}"/>
      </c:ext>
    </c:extLst>
  </c:chart>
  <c:spPr>
    <a:ln w="9525">
      <a:solidFill>
        <a:srgbClr val="D9D9D9"/>
      </a:solidFill>
      <a:prstDash val="solid"/>
      <a:round/>
    </a:ln>
  </c:spPr>
  <c:txPr>
    <a:bodyPr/>
    <a:lstStyle/>
    <a:p>
      <a:pPr>
        <a:defRPr lang="en-GB"/>
      </a:pPr>
    </a:p>
  </c:txPr>
  <c:printSettings>
    <c:headerFooter/>
    <c:pageMargins b="0.75" l="0.7" r="0.7" t="0.75" header="0.3" footer="0.3"/>
    <c:pageSetup/>
  </c:printSettings>
</c:chartSpac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drawing1.xml><?xml version="1.0" encoding="utf-8"?>
<xdr:wsDr xmlns:xdr="http://schemas.openxmlformats.org/drawingml/2006/spreadsheetDrawing" xmlns:r="http://schemas.openxmlformats.org/officeDocument/2006/relationships" xmlns:a="http://schemas.openxmlformats.org/drawingml/2006/main">
  <xdr:twoCellAnchor>
    <xdr:from>
      <xdr:col>5</xdr:col>
      <xdr:colOff>0</xdr:colOff>
      <xdr:row>16</xdr:row>
      <xdr:rowOff>0</xdr:rowOff>
    </xdr:from>
    <xdr:to>
      <xdr:col>10</xdr:col>
      <xdr:colOff>0</xdr:colOff>
      <xdr:row>31</xdr:row>
      <xdr:rowOff>0</xdr:rowOff>
    </xdr:to>
    <xdr:graphicFrame>
      <xdr:nvGraphicFramePr>
        <xdr:cNvPr id="2" name="Chart"/>
        <xdr:cNvGraphicFramePr/>
      </xdr:nvGraphicFramePr>
      <xdr:xfrm>
        <a:off x="7086600" y="2924175"/>
        <a:ext cx="5943600" cy="9439275"/>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tables/table1.xml><?xml version="1.0" encoding="utf-8"?>
<table xmlns="http://schemas.openxmlformats.org/spreadsheetml/2006/main" id="1" name="M1TasksTable" displayName="M1TasksTable" ref="A1:O31" totalsRowShown="0">
  <tableColumns count="15">
    <tableColumn id="1" name="Mã"/>
    <tableColumn id="2" name="Mảng"/>
    <tableColumn id="3" name="Tên task"/>
    <tableColumn id="4" name="Ưu tiên"/>
    <tableColumn id="5" name="Người làm"/>
    <tableColumn id="6" name="Người review"/>
    <tableColumn id="7" name="Phụ thuộc"/>
    <tableColumn id="8" name="Giai đoạn"/>
    <tableColumn id="9" name="Trạng thái"/>
    <tableColumn id="10" name="% Tiến độ"/>
    <tableColumn id="11" name="Ngày bắt đầu"/>
    <tableColumn id="12" name="Hạn chót"/>
    <tableColumn id="13" name="Tiêu chí hoàn thành"/>
    <tableColumn id="14" name="Ghi chú"/>
    <tableColumn id="15" name="Link Trello"/>
  </tableColumns>
  <tableStyleInfo name="TableStyleMedium2" showFirstColumn="0" showLastColumn="0" showRowStripes="1" showColumnStripes="0"/>
</table>
</file>

<file path=xl/tables/table2.xml><?xml version="1.0" encoding="utf-8"?>
<table xmlns="http://schemas.openxmlformats.org/spreadsheetml/2006/main" id="2" name="RoadmapTable" displayName="RoadmapTable" ref="A4:H10" totalsRowShown="0">
  <tableColumns count="8">
    <tableColumn id="1" name="Giai đoạn"/>
    <tableColumn id="2" name="Mục tiêu"/>
    <tableColumn id="3" name="Phạm vi chính"/>
    <tableColumn id="4" name="Điều kiện hoàn thành"/>
    <tableColumn id="5" name="Trạng thái"/>
    <tableColumn id="6" name="% Tiến độ"/>
    <tableColumn id="7" name="Tiếp theo"/>
    <tableColumn id="8" name="Ghi chú"/>
  </tableColumns>
  <tableStyleInfo name="TableStyleMedium2" showFirstColumn="0" showLastColumn="0" showRowStripes="1" showColumnStripes="0"/>
</table>
</file>

<file path=xl/tables/table3.xml><?xml version="1.0" encoding="utf-8"?>
<table xmlns="http://schemas.openxmlformats.org/spreadsheetml/2006/main" id="3" name="RisksTable" displayName="RisksTable" ref="A4:H12" totalsRowShown="0">
  <tableColumns count="8">
    <tableColumn id="1" name="Mã"/>
    <tableColumn id="2" name="Rủi ro / phụ thuộc"/>
    <tableColumn id="3" name="Loại"/>
    <tableColumn id="4" name="Ảnh hưởng"/>
    <tableColumn id="5" name="Khả năng xảy ra"/>
    <tableColumn id="6" name="Cách giảm / việc tiếp theo"/>
    <tableColumn id="7" name="Người theo dõi"/>
    <tableColumn id="8" name="Trạng thái"/>
  </tableColumns>
  <tableStyleInfo name="TableStyleMedium2" showFirstColumn="0" showLastColumn="0" showRowStripes="1" showColumnStripes="0"/>
</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objectDefaults/>
</a:theme>
</file>

<file path=xl/worksheets/_rels/sheet2.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3.xml.rels><?xml version="1.0" encoding="UTF-8" standalone="yes"?>
<Relationships xmlns="http://schemas.openxmlformats.org/package/2006/relationships"><Relationship Id="rId1" Type="http://schemas.openxmlformats.org/officeDocument/2006/relationships/table" Target="../tables/table1.xml"/></Relationships>
</file>

<file path=xl/worksheets/_rels/sheet4.xml.rels><?xml version="1.0" encoding="UTF-8" standalone="yes"?>
<Relationships xmlns="http://schemas.openxmlformats.org/package/2006/relationships"><Relationship Id="rId1" Type="http://schemas.openxmlformats.org/officeDocument/2006/relationships/table" Target="../tables/table2.xml"/></Relationships>
</file>

<file path=xl/worksheets/_rels/sheet6.xml.rels><?xml version="1.0" encoding="UTF-8" standalone="yes"?>
<Relationships xmlns="http://schemas.openxmlformats.org/package/2006/relationships"><Relationship Id="rId1" Type="http://schemas.openxmlformats.org/officeDocument/2006/relationships/table" Target="../tables/table3.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Z100"/>
  <sheetViews>
    <sheetView tabSelected="1" workbookViewId="0">
      <selection activeCell="A1" sqref="A1:H2"/>
    </sheetView>
  </sheetViews>
  <sheetFormatPr defaultColWidth="9" defaultRowHeight="14.25"/>
  <cols>
    <col min="1" max="1" width="16" customWidth="1"/>
    <col min="2" max="2" width="30" customWidth="1"/>
    <col min="3" max="3" width="18" customWidth="1"/>
    <col min="4" max="4" width="31" customWidth="1"/>
    <col min="5" max="5" width="19" customWidth="1"/>
    <col min="6" max="6" width="31" customWidth="1"/>
    <col min="7" max="7" width="16" customWidth="1"/>
    <col min="8" max="8" width="28" customWidth="1"/>
  </cols>
  <sheetData>
    <row r="1" ht="24" customHeight="1" spans="1:26">
      <c r="A1" s="1" t="s">
        <v>0</v>
      </c>
      <c r="B1" s="1"/>
      <c r="C1" s="1"/>
      <c r="D1" s="1"/>
      <c r="E1" s="1"/>
      <c r="F1" s="1"/>
      <c r="G1" s="1"/>
      <c r="H1" s="1"/>
      <c r="I1" s="2"/>
      <c r="J1" s="2"/>
      <c r="K1" s="2"/>
      <c r="L1" s="2"/>
      <c r="M1" s="2"/>
      <c r="N1" s="2"/>
      <c r="O1" s="2"/>
      <c r="P1" s="2"/>
      <c r="Q1" s="2"/>
      <c r="R1" s="2"/>
      <c r="S1" s="2"/>
      <c r="T1" s="2"/>
      <c r="U1" s="2"/>
      <c r="V1" s="2"/>
      <c r="W1" s="2"/>
      <c r="X1" s="2"/>
      <c r="Y1" s="2"/>
      <c r="Z1" s="2"/>
    </row>
    <row r="2" ht="24" customHeight="1" spans="1:26">
      <c r="A2" s="1"/>
      <c r="B2" s="1"/>
      <c r="C2" s="1"/>
      <c r="D2" s="1"/>
      <c r="E2" s="1"/>
      <c r="F2" s="1"/>
      <c r="G2" s="1"/>
      <c r="H2" s="1"/>
      <c r="I2" s="2"/>
      <c r="J2" s="2"/>
      <c r="K2" s="2"/>
      <c r="L2" s="2"/>
      <c r="M2" s="2"/>
      <c r="N2" s="2"/>
      <c r="O2" s="2"/>
      <c r="P2" s="2"/>
      <c r="Q2" s="2"/>
      <c r="R2" s="2"/>
      <c r="S2" s="2"/>
      <c r="T2" s="2"/>
      <c r="U2" s="2"/>
      <c r="V2" s="2"/>
      <c r="W2" s="2"/>
      <c r="X2" s="2"/>
      <c r="Y2" s="2"/>
      <c r="Z2" s="2"/>
    </row>
    <row r="3" spans="1:26">
      <c r="A3" s="2"/>
      <c r="B3" s="2"/>
      <c r="C3" s="2"/>
      <c r="D3" s="2"/>
      <c r="E3" s="2"/>
      <c r="F3" s="2"/>
      <c r="G3" s="2"/>
      <c r="H3" s="2"/>
      <c r="I3" s="2"/>
      <c r="J3" s="2"/>
      <c r="K3" s="2"/>
      <c r="L3" s="2"/>
      <c r="M3" s="2"/>
      <c r="N3" s="2"/>
      <c r="O3" s="2"/>
      <c r="P3" s="2"/>
      <c r="Q3" s="2"/>
      <c r="R3" s="2"/>
      <c r="S3" s="2"/>
      <c r="T3" s="2"/>
      <c r="U3" s="2"/>
      <c r="V3" s="2"/>
      <c r="W3" s="2"/>
      <c r="X3" s="2"/>
      <c r="Y3" s="2"/>
      <c r="Z3" s="2"/>
    </row>
    <row r="4" ht="15" spans="1:26">
      <c r="A4" s="5" t="s">
        <v>1</v>
      </c>
      <c r="B4" s="5"/>
      <c r="C4" s="5"/>
      <c r="D4" s="5"/>
      <c r="E4" s="5"/>
      <c r="F4" s="5"/>
      <c r="G4" s="5"/>
      <c r="H4" s="5"/>
      <c r="I4" s="2"/>
      <c r="J4" s="2"/>
      <c r="K4" s="2"/>
      <c r="L4" s="2"/>
      <c r="M4" s="2"/>
      <c r="N4" s="2"/>
      <c r="O4" s="2"/>
      <c r="P4" s="2"/>
      <c r="Q4" s="2"/>
      <c r="R4" s="2"/>
      <c r="S4" s="2"/>
      <c r="T4" s="2"/>
      <c r="U4" s="2"/>
      <c r="V4" s="2"/>
      <c r="W4" s="2"/>
      <c r="X4" s="2"/>
      <c r="Y4" s="2"/>
      <c r="Z4" s="2"/>
    </row>
    <row r="5" spans="1:26">
      <c r="A5" s="4" t="s">
        <v>2</v>
      </c>
      <c r="B5" s="4" t="s">
        <v>3</v>
      </c>
      <c r="C5" s="4" t="s">
        <v>4</v>
      </c>
      <c r="D5" s="4" t="s">
        <v>5</v>
      </c>
      <c r="E5" s="4" t="s">
        <v>6</v>
      </c>
      <c r="F5" s="4" t="s">
        <v>7</v>
      </c>
      <c r="G5" s="4" t="s">
        <v>8</v>
      </c>
      <c r="H5" s="4" t="s">
        <v>9</v>
      </c>
      <c r="I5" s="2"/>
      <c r="J5" s="2"/>
      <c r="K5" s="2"/>
      <c r="L5" s="2"/>
      <c r="M5" s="2"/>
      <c r="N5" s="2"/>
      <c r="O5" s="2"/>
      <c r="P5" s="2"/>
      <c r="Q5" s="2"/>
      <c r="R5" s="2"/>
      <c r="S5" s="2"/>
      <c r="T5" s="2"/>
      <c r="U5" s="2"/>
      <c r="V5" s="2"/>
      <c r="W5" s="2"/>
      <c r="X5" s="2"/>
      <c r="Y5" s="2"/>
      <c r="Z5" s="2"/>
    </row>
    <row r="6" spans="1:26">
      <c r="A6" s="4" t="s">
        <v>10</v>
      </c>
      <c r="B6" s="4" t="s">
        <v>11</v>
      </c>
      <c r="C6" s="4" t="s">
        <v>12</v>
      </c>
      <c r="D6" s="4" t="s">
        <v>13</v>
      </c>
      <c r="E6" s="4" t="s">
        <v>14</v>
      </c>
      <c r="F6" s="4" t="s">
        <v>15</v>
      </c>
      <c r="G6" s="4" t="s">
        <v>16</v>
      </c>
      <c r="H6" s="4" t="s">
        <v>17</v>
      </c>
      <c r="I6" s="2"/>
      <c r="J6" s="2"/>
      <c r="K6" s="2"/>
      <c r="L6" s="2"/>
      <c r="M6" s="2"/>
      <c r="N6" s="2"/>
      <c r="O6" s="2"/>
      <c r="P6" s="2"/>
      <c r="Q6" s="2"/>
      <c r="R6" s="2"/>
      <c r="S6" s="2"/>
      <c r="T6" s="2"/>
      <c r="U6" s="2"/>
      <c r="V6" s="2"/>
      <c r="W6" s="2"/>
      <c r="X6" s="2"/>
      <c r="Y6" s="2"/>
      <c r="Z6" s="2"/>
    </row>
    <row r="7" ht="28.5" spans="1:26">
      <c r="A7" s="4" t="s">
        <v>18</v>
      </c>
      <c r="B7" s="4" t="s">
        <v>19</v>
      </c>
      <c r="C7" s="4" t="s">
        <v>20</v>
      </c>
      <c r="D7" s="4" t="s">
        <v>21</v>
      </c>
      <c r="E7" s="4" t="s">
        <v>22</v>
      </c>
      <c r="F7" s="4" t="s">
        <v>23</v>
      </c>
      <c r="G7" s="4" t="s">
        <v>24</v>
      </c>
      <c r="H7" s="4" t="s">
        <v>25</v>
      </c>
      <c r="I7" s="2"/>
      <c r="J7" s="2"/>
      <c r="K7" s="2"/>
      <c r="L7" s="2"/>
      <c r="M7" s="2"/>
      <c r="N7" s="2"/>
      <c r="O7" s="2"/>
      <c r="P7" s="2"/>
      <c r="Q7" s="2"/>
      <c r="R7" s="2"/>
      <c r="S7" s="2"/>
      <c r="T7" s="2"/>
      <c r="U7" s="2"/>
      <c r="V7" s="2"/>
      <c r="W7" s="2"/>
      <c r="X7" s="2"/>
      <c r="Y7" s="2"/>
      <c r="Z7" s="2"/>
    </row>
    <row r="8" spans="1:26">
      <c r="A8" s="2"/>
      <c r="B8" s="2"/>
      <c r="C8" s="2"/>
      <c r="D8" s="2"/>
      <c r="E8" s="2"/>
      <c r="F8" s="2"/>
      <c r="G8" s="2"/>
      <c r="H8" s="2"/>
      <c r="I8" s="2"/>
      <c r="J8" s="2"/>
      <c r="K8" s="2"/>
      <c r="L8" s="2"/>
      <c r="M8" s="2"/>
      <c r="N8" s="2"/>
      <c r="O8" s="2"/>
      <c r="P8" s="2"/>
      <c r="Q8" s="2"/>
      <c r="R8" s="2"/>
      <c r="S8" s="2"/>
      <c r="T8" s="2"/>
      <c r="U8" s="2"/>
      <c r="V8" s="2"/>
      <c r="W8" s="2"/>
      <c r="X8" s="2"/>
      <c r="Y8" s="2"/>
      <c r="Z8" s="2"/>
    </row>
    <row r="9" ht="15" spans="1:26">
      <c r="A9" s="5" t="s">
        <v>26</v>
      </c>
      <c r="B9" s="5"/>
      <c r="C9" s="5"/>
      <c r="D9" s="5"/>
      <c r="E9" s="5"/>
      <c r="F9" s="5"/>
      <c r="G9" s="5"/>
      <c r="H9" s="5"/>
      <c r="I9" s="2"/>
      <c r="J9" s="2"/>
      <c r="K9" s="2"/>
      <c r="L9" s="2"/>
      <c r="M9" s="2"/>
      <c r="N9" s="2"/>
      <c r="O9" s="2"/>
      <c r="P9" s="2"/>
      <c r="Q9" s="2"/>
      <c r="R9" s="2"/>
      <c r="S9" s="2"/>
      <c r="T9" s="2"/>
      <c r="U9" s="2"/>
      <c r="V9" s="2"/>
      <c r="W9" s="2"/>
      <c r="X9" s="2"/>
      <c r="Y9" s="2"/>
      <c r="Z9" s="2"/>
    </row>
    <row r="10" ht="15" spans="1:26">
      <c r="A10" s="3" t="s">
        <v>27</v>
      </c>
      <c r="B10" s="3" t="s">
        <v>28</v>
      </c>
      <c r="C10" s="3" t="s">
        <v>29</v>
      </c>
      <c r="D10" s="3" t="s">
        <v>30</v>
      </c>
      <c r="E10" s="2" t="s">
        <v>31</v>
      </c>
      <c r="F10" s="2" t="s">
        <v>31</v>
      </c>
      <c r="G10" s="2" t="s">
        <v>31</v>
      </c>
      <c r="H10" s="2" t="s">
        <v>31</v>
      </c>
      <c r="I10" s="2"/>
      <c r="J10" s="2"/>
      <c r="K10" s="2"/>
      <c r="L10" s="2"/>
      <c r="M10" s="2"/>
      <c r="N10" s="2"/>
      <c r="O10" s="2"/>
      <c r="P10" s="2"/>
      <c r="Q10" s="2"/>
      <c r="R10" s="2"/>
      <c r="S10" s="2"/>
      <c r="T10" s="2"/>
      <c r="U10" s="2"/>
      <c r="V10" s="2"/>
      <c r="W10" s="2"/>
      <c r="X10" s="2"/>
      <c r="Y10" s="2"/>
      <c r="Z10" s="2"/>
    </row>
    <row r="11" ht="85.5" spans="1:26">
      <c r="A11" s="4" t="s">
        <v>32</v>
      </c>
      <c r="B11" s="4" t="s">
        <v>33</v>
      </c>
      <c r="C11" s="4" t="s">
        <v>34</v>
      </c>
      <c r="D11" s="4" t="s">
        <v>35</v>
      </c>
      <c r="E11" s="2" t="s">
        <v>31</v>
      </c>
      <c r="F11" s="2" t="s">
        <v>31</v>
      </c>
      <c r="G11" s="2" t="s">
        <v>31</v>
      </c>
      <c r="H11" s="2" t="s">
        <v>31</v>
      </c>
      <c r="I11" s="2"/>
      <c r="J11" s="2"/>
      <c r="K11" s="2"/>
      <c r="L11" s="2"/>
      <c r="M11" s="2"/>
      <c r="N11" s="2"/>
      <c r="O11" s="2"/>
      <c r="P11" s="2"/>
      <c r="Q11" s="2"/>
      <c r="R11" s="2"/>
      <c r="S11" s="2"/>
      <c r="T11" s="2"/>
      <c r="U11" s="2"/>
      <c r="V11" s="2"/>
      <c r="W11" s="2"/>
      <c r="X11" s="2"/>
      <c r="Y11" s="2"/>
      <c r="Z11" s="2"/>
    </row>
    <row r="12" ht="99.75" spans="1:26">
      <c r="A12" s="4" t="s">
        <v>36</v>
      </c>
      <c r="B12" s="4" t="s">
        <v>37</v>
      </c>
      <c r="C12" s="4" t="s">
        <v>38</v>
      </c>
      <c r="D12" s="4" t="s">
        <v>39</v>
      </c>
      <c r="E12" s="2" t="s">
        <v>31</v>
      </c>
      <c r="F12" s="2" t="s">
        <v>31</v>
      </c>
      <c r="G12" s="2" t="s">
        <v>31</v>
      </c>
      <c r="H12" s="2" t="s">
        <v>31</v>
      </c>
      <c r="I12" s="2"/>
      <c r="J12" s="2"/>
      <c r="K12" s="2"/>
      <c r="L12" s="2"/>
      <c r="M12" s="2"/>
      <c r="N12" s="2"/>
      <c r="O12" s="2"/>
      <c r="P12" s="2"/>
      <c r="Q12" s="2"/>
      <c r="R12" s="2"/>
      <c r="S12" s="2"/>
      <c r="T12" s="2"/>
      <c r="U12" s="2"/>
      <c r="V12" s="2"/>
      <c r="W12" s="2"/>
      <c r="X12" s="2"/>
      <c r="Y12" s="2"/>
      <c r="Z12" s="2"/>
    </row>
    <row r="13" ht="199.5" spans="1:26">
      <c r="A13" s="4" t="s">
        <v>40</v>
      </c>
      <c r="B13" s="4" t="s">
        <v>41</v>
      </c>
      <c r="C13" s="4" t="s">
        <v>38</v>
      </c>
      <c r="D13" s="4" t="s">
        <v>42</v>
      </c>
      <c r="E13" s="2" t="s">
        <v>31</v>
      </c>
      <c r="F13" s="2" t="s">
        <v>31</v>
      </c>
      <c r="G13" s="2" t="s">
        <v>31</v>
      </c>
      <c r="H13" s="2" t="s">
        <v>31</v>
      </c>
      <c r="I13" s="2"/>
      <c r="J13" s="2"/>
      <c r="K13" s="2"/>
      <c r="L13" s="2"/>
      <c r="M13" s="2"/>
      <c r="N13" s="2"/>
      <c r="O13" s="2"/>
      <c r="P13" s="2"/>
      <c r="Q13" s="2"/>
      <c r="R13" s="2"/>
      <c r="S13" s="2"/>
      <c r="T13" s="2"/>
      <c r="U13" s="2"/>
      <c r="V13" s="2"/>
      <c r="W13" s="2"/>
      <c r="X13" s="2"/>
      <c r="Y13" s="2"/>
      <c r="Z13" s="2"/>
    </row>
    <row r="14" ht="57.0" spans="1:26">
      <c r="A14" s="4" t="s">
        <v>43</v>
      </c>
      <c r="B14" s="4" t="s">
        <v>44</v>
      </c>
      <c r="C14" s="4" t="s">
        <v>45</v>
      </c>
      <c r="D14" s="4" t="s">
        <v>46</v>
      </c>
      <c r="E14" s="2" t="s">
        <v>31</v>
      </c>
      <c r="F14" s="2" t="s">
        <v>31</v>
      </c>
      <c r="G14" s="2" t="s">
        <v>31</v>
      </c>
      <c r="H14" s="2" t="s">
        <v>31</v>
      </c>
      <c r="I14" s="2"/>
      <c r="J14" s="2"/>
      <c r="K14" s="2"/>
      <c r="L14" s="2"/>
      <c r="M14" s="2"/>
      <c r="N14" s="2"/>
      <c r="O14" s="2"/>
      <c r="P14" s="2"/>
      <c r="Q14" s="2"/>
      <c r="R14" s="2"/>
      <c r="S14" s="2"/>
      <c r="T14" s="2"/>
      <c r="U14" s="2"/>
      <c r="V14" s="2"/>
      <c r="W14" s="2"/>
      <c r="X14" s="2"/>
      <c r="Y14" s="2"/>
      <c r="Z14" s="2"/>
    </row>
    <row r="15" ht="28.5" spans="1:26">
      <c r="A15" s="4" t="s">
        <v>47</v>
      </c>
      <c r="B15" s="4" t="s">
        <v>48</v>
      </c>
      <c r="C15" s="4" t="s">
        <v>49</v>
      </c>
      <c r="D15" s="4" t="s">
        <v>50</v>
      </c>
      <c r="E15" s="2" t="s">
        <v>31</v>
      </c>
      <c r="F15" s="2" t="s">
        <v>31</v>
      </c>
      <c r="G15" s="2" t="s">
        <v>31</v>
      </c>
      <c r="H15" s="2" t="s">
        <v>31</v>
      </c>
      <c r="I15" s="2"/>
      <c r="J15" s="2"/>
      <c r="K15" s="2"/>
      <c r="L15" s="2"/>
      <c r="M15" s="2"/>
      <c r="N15" s="2"/>
      <c r="O15" s="2"/>
      <c r="P15" s="2"/>
      <c r="Q15" s="2"/>
      <c r="R15" s="2"/>
      <c r="S15" s="2"/>
      <c r="T15" s="2"/>
      <c r="U15" s="2"/>
      <c r="V15" s="2"/>
      <c r="W15" s="2"/>
      <c r="X15" s="2"/>
      <c r="Y15" s="2"/>
      <c r="Z15" s="2"/>
    </row>
    <row r="16" spans="1:26">
      <c r="A16" s="2"/>
      <c r="B16" s="2"/>
      <c r="C16" s="2"/>
      <c r="D16" s="2"/>
      <c r="E16" s="2"/>
      <c r="F16" s="2"/>
      <c r="G16" s="2"/>
      <c r="H16" s="2"/>
      <c r="I16" s="2"/>
      <c r="J16" s="2"/>
      <c r="K16" s="2"/>
      <c r="L16" s="2"/>
      <c r="M16" s="2"/>
      <c r="N16" s="2"/>
      <c r="O16" s="2"/>
      <c r="P16" s="2"/>
      <c r="Q16" s="2"/>
      <c r="R16" s="2"/>
      <c r="S16" s="2"/>
      <c r="T16" s="2"/>
      <c r="U16" s="2"/>
      <c r="V16" s="2"/>
      <c r="W16" s="2"/>
      <c r="X16" s="2"/>
      <c r="Y16" s="2"/>
      <c r="Z16" s="2"/>
    </row>
    <row r="17" ht="15" spans="1:26">
      <c r="A17" s="5" t="s">
        <v>51</v>
      </c>
      <c r="B17" s="5"/>
      <c r="C17" s="5"/>
      <c r="D17" s="5"/>
      <c r="E17" s="5"/>
      <c r="F17" s="5"/>
      <c r="G17" s="5"/>
      <c r="H17" s="5"/>
      <c r="I17" s="2"/>
      <c r="J17" s="2"/>
      <c r="K17" s="2"/>
      <c r="L17" s="2"/>
      <c r="M17" s="2"/>
      <c r="N17" s="2"/>
      <c r="O17" s="2"/>
      <c r="P17" s="2"/>
      <c r="Q17" s="2"/>
      <c r="R17" s="2"/>
      <c r="S17" s="2"/>
      <c r="T17" s="2"/>
      <c r="U17" s="2"/>
      <c r="V17" s="2"/>
      <c r="W17" s="2"/>
      <c r="X17" s="2"/>
      <c r="Y17" s="2"/>
      <c r="Z17" s="2"/>
    </row>
    <row r="18" spans="1:26">
      <c r="A18" s="6" t="s">
        <v>52</v>
      </c>
      <c r="B18" s="6"/>
      <c r="C18" s="6"/>
      <c r="D18" s="6"/>
      <c r="E18" s="6"/>
      <c r="F18" s="6"/>
      <c r="G18" s="6"/>
      <c r="H18" s="6"/>
      <c r="I18" s="2"/>
      <c r="J18" s="2"/>
      <c r="K18" s="2"/>
      <c r="L18" s="2"/>
      <c r="M18" s="2"/>
      <c r="N18" s="2"/>
      <c r="O18" s="2"/>
      <c r="P18" s="2"/>
      <c r="Q18" s="2"/>
      <c r="R18" s="2"/>
      <c r="S18" s="2"/>
      <c r="T18" s="2"/>
      <c r="U18" s="2"/>
      <c r="V18" s="2"/>
      <c r="W18" s="2"/>
      <c r="X18" s="2"/>
      <c r="Y18" s="2"/>
      <c r="Z18" s="2"/>
    </row>
    <row r="19" spans="1:26">
      <c r="A19" s="6"/>
      <c r="B19" s="6"/>
      <c r="C19" s="6"/>
      <c r="D19" s="6"/>
      <c r="E19" s="6"/>
      <c r="F19" s="6"/>
      <c r="G19" s="6"/>
      <c r="H19" s="6"/>
      <c r="I19" s="2"/>
      <c r="J19" s="2"/>
      <c r="K19" s="2"/>
      <c r="L19" s="2"/>
      <c r="M19" s="2"/>
      <c r="N19" s="2"/>
      <c r="O19" s="2"/>
      <c r="P19" s="2"/>
      <c r="Q19" s="2"/>
      <c r="R19" s="2"/>
      <c r="S19" s="2"/>
      <c r="T19" s="2"/>
      <c r="U19" s="2"/>
      <c r="V19" s="2"/>
      <c r="W19" s="2"/>
      <c r="X19" s="2"/>
      <c r="Y19" s="2"/>
      <c r="Z19" s="2"/>
    </row>
    <row r="20" spans="1:26" ht="28.5" customHeight="1">
      <c r="A20" s="6"/>
      <c r="B20" s="6"/>
      <c r="C20" s="6"/>
      <c r="D20" s="6"/>
      <c r="E20" s="6"/>
      <c r="F20" s="6"/>
      <c r="G20" s="6"/>
      <c r="H20" s="6"/>
      <c r="I20" s="2"/>
      <c r="J20" s="2"/>
      <c r="K20" s="2"/>
      <c r="L20" s="2"/>
      <c r="M20" s="2"/>
      <c r="N20" s="2"/>
      <c r="O20" s="2"/>
      <c r="P20" s="2"/>
      <c r="Q20" s="2"/>
      <c r="R20" s="2"/>
      <c r="S20" s="2"/>
      <c r="T20" s="2"/>
      <c r="U20" s="2"/>
      <c r="V20" s="2"/>
      <c r="W20" s="2"/>
      <c r="X20" s="2"/>
      <c r="Y20" s="2"/>
      <c r="Z20" s="2"/>
    </row>
    <row r="21" spans="1:26">
      <c r="A21" s="2"/>
      <c r="B21" s="2"/>
      <c r="C21" s="2"/>
      <c r="D21" s="2"/>
      <c r="E21" s="2"/>
      <c r="F21" s="2"/>
      <c r="G21" s="2"/>
      <c r="H21" s="2"/>
      <c r="I21" s="2"/>
      <c r="J21" s="2"/>
      <c r="K21" s="2"/>
      <c r="L21" s="2"/>
      <c r="M21" s="2"/>
      <c r="N21" s="2"/>
      <c r="O21" s="2"/>
      <c r="P21" s="2"/>
      <c r="Q21" s="2"/>
      <c r="R21" s="2"/>
      <c r="S21" s="2"/>
      <c r="T21" s="2"/>
      <c r="U21" s="2"/>
      <c r="V21" s="2"/>
      <c r="W21" s="2"/>
      <c r="X21" s="2"/>
      <c r="Y21" s="2"/>
      <c r="Z21" s="2"/>
    </row>
    <row r="22" ht="15" spans="1:26">
      <c r="A22" s="5" t="s">
        <v>53</v>
      </c>
      <c r="B22" s="5"/>
      <c r="C22" s="5"/>
      <c r="D22" s="5"/>
      <c r="E22" s="5"/>
      <c r="F22" s="5"/>
      <c r="G22" s="5"/>
      <c r="H22" s="5"/>
      <c r="I22" s="2"/>
      <c r="J22" s="2"/>
      <c r="K22" s="2"/>
      <c r="L22" s="2"/>
      <c r="M22" s="2"/>
      <c r="N22" s="2"/>
      <c r="O22" s="2"/>
      <c r="P22" s="2"/>
      <c r="Q22" s="2"/>
      <c r="R22" s="2"/>
      <c r="S22" s="2"/>
      <c r="T22" s="2"/>
      <c r="U22" s="2"/>
      <c r="V22" s="2"/>
      <c r="W22" s="2"/>
      <c r="X22" s="2"/>
      <c r="Y22" s="2"/>
      <c r="Z22" s="2"/>
    </row>
    <row r="23" ht="156.75" spans="1:26">
      <c r="A23" s="16" t="s">
        <v>54</v>
      </c>
      <c r="B23" s="16" t="s">
        <v>55</v>
      </c>
      <c r="C23" s="2"/>
      <c r="D23" s="2"/>
      <c r="E23" s="2"/>
      <c r="F23" s="2"/>
      <c r="G23" s="2"/>
      <c r="H23" s="2"/>
      <c r="I23" s="2"/>
      <c r="J23" s="2"/>
      <c r="K23" s="2"/>
      <c r="L23" s="2"/>
      <c r="M23" s="2"/>
      <c r="N23" s="2"/>
      <c r="O23" s="2"/>
      <c r="P23" s="2"/>
      <c r="Q23" s="2"/>
      <c r="R23" s="2"/>
      <c r="S23" s="2"/>
      <c r="T23" s="2"/>
      <c r="U23" s="2"/>
      <c r="V23" s="2"/>
      <c r="W23" s="2"/>
      <c r="X23" s="2"/>
      <c r="Y23" s="2"/>
      <c r="Z23" s="2"/>
    </row>
    <row r="24" ht="28.5" spans="1:26">
      <c r="A24" s="16" t="s">
        <v>56</v>
      </c>
      <c r="B24" s="16" t="s">
        <v>57</v>
      </c>
      <c r="C24" s="2"/>
      <c r="D24" s="2"/>
      <c r="E24" s="2"/>
      <c r="F24" s="2"/>
      <c r="G24" s="2"/>
      <c r="H24" s="2"/>
      <c r="I24" s="2"/>
      <c r="J24" s="2"/>
      <c r="K24" s="2"/>
      <c r="L24" s="2"/>
      <c r="M24" s="2"/>
      <c r="N24" s="2"/>
      <c r="O24" s="2"/>
      <c r="P24" s="2"/>
      <c r="Q24" s="2"/>
      <c r="R24" s="2"/>
      <c r="S24" s="2"/>
      <c r="T24" s="2"/>
      <c r="U24" s="2"/>
      <c r="V24" s="2"/>
      <c r="W24" s="2"/>
      <c r="X24" s="2"/>
      <c r="Y24" s="2"/>
      <c r="Z24" s="2"/>
    </row>
    <row r="25" ht="42.75" spans="1:26">
      <c r="A25" s="16" t="s">
        <v>58</v>
      </c>
      <c r="B25" s="16" t="s">
        <v>59</v>
      </c>
      <c r="C25" s="2"/>
      <c r="D25" s="2"/>
      <c r="E25" s="2"/>
      <c r="F25" s="2"/>
      <c r="G25" s="2"/>
      <c r="H25" s="2"/>
      <c r="I25" s="2"/>
      <c r="J25" s="2"/>
      <c r="K25" s="2"/>
      <c r="L25" s="2"/>
      <c r="M25" s="2"/>
      <c r="N25" s="2"/>
      <c r="O25" s="2"/>
      <c r="P25" s="2"/>
      <c r="Q25" s="2"/>
      <c r="R25" s="2"/>
      <c r="S25" s="2"/>
      <c r="T25" s="2"/>
      <c r="U25" s="2"/>
      <c r="V25" s="2"/>
      <c r="W25" s="2"/>
      <c r="X25" s="2"/>
      <c r="Y25" s="2"/>
      <c r="Z25" s="2"/>
    </row>
    <row r="26" ht="99.75" spans="1:26">
      <c r="A26" s="16" t="s">
        <v>60</v>
      </c>
      <c r="B26" s="16" t="s">
        <v>61</v>
      </c>
      <c r="C26" s="2"/>
      <c r="D26" s="2"/>
      <c r="E26" s="2"/>
      <c r="F26" s="2"/>
      <c r="G26" s="2"/>
      <c r="H26" s="2"/>
      <c r="I26" s="2"/>
      <c r="J26" s="2"/>
      <c r="K26" s="2"/>
      <c r="L26" s="2"/>
      <c r="M26" s="2"/>
      <c r="N26" s="2"/>
      <c r="O26" s="2"/>
      <c r="P26" s="2"/>
      <c r="Q26" s="2"/>
      <c r="R26" s="2"/>
      <c r="S26" s="2"/>
      <c r="T26" s="2"/>
      <c r="U26" s="2"/>
      <c r="V26" s="2"/>
      <c r="W26" s="2"/>
      <c r="X26" s="2"/>
      <c r="Y26" s="2"/>
      <c r="Z26" s="2"/>
    </row>
    <row r="27" ht="42.75" spans="1:26">
      <c r="A27" s="16" t="s">
        <v>62</v>
      </c>
      <c r="B27" s="16" t="s">
        <v>63</v>
      </c>
      <c r="C27" s="2"/>
      <c r="D27" s="2"/>
      <c r="E27" s="2"/>
      <c r="F27" s="2"/>
      <c r="G27" s="2"/>
      <c r="H27" s="2"/>
      <c r="I27" s="2"/>
      <c r="J27" s="2"/>
      <c r="K27" s="2"/>
      <c r="L27" s="2"/>
      <c r="M27" s="2"/>
      <c r="N27" s="2"/>
      <c r="O27" s="2"/>
      <c r="P27" s="2"/>
      <c r="Q27" s="2"/>
      <c r="R27" s="2"/>
      <c r="S27" s="2"/>
      <c r="T27" s="2"/>
      <c r="U27" s="2"/>
      <c r="V27" s="2"/>
      <c r="W27" s="2"/>
      <c r="X27" s="2"/>
      <c r="Y27" s="2"/>
      <c r="Z27" s="2"/>
    </row>
    <row r="28" ht="99.75" spans="1:26">
      <c r="A28" s="16" t="s">
        <v>64</v>
      </c>
      <c r="B28" s="16" t="s">
        <v>65</v>
      </c>
      <c r="C28" s="2"/>
      <c r="D28" s="2"/>
      <c r="E28" s="2"/>
      <c r="F28" s="2"/>
      <c r="G28" s="2"/>
      <c r="H28" s="2"/>
      <c r="I28" s="2"/>
      <c r="J28" s="2"/>
      <c r="K28" s="2"/>
      <c r="L28" s="2"/>
      <c r="M28" s="2"/>
      <c r="N28" s="2"/>
      <c r="O28" s="2"/>
      <c r="P28" s="2"/>
      <c r="Q28" s="2"/>
      <c r="R28" s="2"/>
      <c r="S28" s="2"/>
      <c r="T28" s="2"/>
      <c r="U28" s="2"/>
      <c r="V28" s="2"/>
      <c r="W28" s="2"/>
      <c r="X28" s="2"/>
      <c r="Y28" s="2"/>
      <c r="Z28" s="2"/>
    </row>
    <row r="29" spans="1:26">
      <c r="A29" s="2"/>
      <c r="B29" s="2"/>
      <c r="C29" s="2"/>
      <c r="D29" s="2"/>
      <c r="E29" s="2"/>
      <c r="F29" s="2"/>
      <c r="G29" s="2"/>
      <c r="H29" s="2"/>
      <c r="I29" s="2"/>
      <c r="J29" s="2"/>
      <c r="K29" s="2"/>
      <c r="L29" s="2"/>
      <c r="M29" s="2"/>
      <c r="N29" s="2"/>
      <c r="O29" s="2"/>
      <c r="P29" s="2"/>
      <c r="Q29" s="2"/>
      <c r="R29" s="2"/>
      <c r="S29" s="2"/>
      <c r="T29" s="2"/>
      <c r="U29" s="2"/>
      <c r="V29" s="2"/>
      <c r="W29" s="2"/>
      <c r="X29" s="2"/>
      <c r="Y29" s="2"/>
      <c r="Z29" s="2"/>
    </row>
    <row r="30" ht="15" spans="1:26">
      <c r="A30" s="5" t="s">
        <v>66</v>
      </c>
      <c r="B30" s="5"/>
      <c r="C30" s="5"/>
      <c r="D30" s="5"/>
      <c r="E30" s="5"/>
      <c r="F30" s="5"/>
      <c r="G30" s="5"/>
      <c r="H30" s="5"/>
      <c r="I30" s="2"/>
      <c r="J30" s="2"/>
      <c r="K30" s="2"/>
      <c r="L30" s="2"/>
      <c r="M30" s="2"/>
      <c r="N30" s="2"/>
      <c r="O30" s="2"/>
      <c r="P30" s="2"/>
      <c r="Q30" s="2"/>
      <c r="R30" s="2"/>
      <c r="S30" s="2"/>
      <c r="T30" s="2"/>
      <c r="U30" s="2"/>
      <c r="V30" s="2"/>
      <c r="W30" s="2"/>
      <c r="X30" s="2"/>
      <c r="Y30" s="2"/>
      <c r="Z30" s="2"/>
    </row>
    <row r="31" spans="1:26">
      <c r="A31" s="6" t="s">
        <v>67</v>
      </c>
      <c r="B31" s="6"/>
      <c r="C31" s="6"/>
      <c r="D31" s="6"/>
      <c r="E31" s="6"/>
      <c r="F31" s="6"/>
      <c r="G31" s="6"/>
      <c r="H31" s="6"/>
      <c r="I31" s="2"/>
      <c r="J31" s="2"/>
      <c r="K31" s="2"/>
      <c r="L31" s="2"/>
      <c r="M31" s="2"/>
      <c r="N31" s="2"/>
      <c r="O31" s="2"/>
      <c r="P31" s="2"/>
      <c r="Q31" s="2"/>
      <c r="R31" s="2"/>
      <c r="S31" s="2"/>
      <c r="T31" s="2"/>
      <c r="U31" s="2"/>
      <c r="V31" s="2"/>
      <c r="W31" s="2"/>
      <c r="X31" s="2"/>
      <c r="Y31" s="2"/>
      <c r="Z31" s="2"/>
    </row>
    <row r="32" spans="1:26">
      <c r="A32" s="6"/>
      <c r="B32" s="6"/>
      <c r="C32" s="6"/>
      <c r="D32" s="6"/>
      <c r="E32" s="6"/>
      <c r="F32" s="6"/>
      <c r="G32" s="6"/>
      <c r="H32" s="6"/>
      <c r="I32" s="2"/>
      <c r="J32" s="2"/>
      <c r="K32" s="2"/>
      <c r="L32" s="2"/>
      <c r="M32" s="2"/>
      <c r="N32" s="2"/>
      <c r="O32" s="2"/>
      <c r="P32" s="2"/>
      <c r="Q32" s="2"/>
      <c r="R32" s="2"/>
      <c r="S32" s="2"/>
      <c r="T32" s="2"/>
      <c r="U32" s="2"/>
      <c r="V32" s="2"/>
      <c r="W32" s="2"/>
      <c r="X32" s="2"/>
      <c r="Y32" s="2"/>
      <c r="Z32" s="2"/>
    </row>
    <row r="33" spans="1:26">
      <c r="A33" s="6"/>
      <c r="B33" s="6"/>
      <c r="C33" s="6"/>
      <c r="D33" s="6"/>
      <c r="E33" s="6"/>
      <c r="F33" s="6"/>
      <c r="G33" s="6"/>
      <c r="H33" s="6"/>
      <c r="I33" s="2"/>
      <c r="J33" s="2"/>
      <c r="K33" s="2"/>
      <c r="L33" s="2"/>
      <c r="M33" s="2"/>
      <c r="N33" s="2"/>
      <c r="O33" s="2"/>
      <c r="P33" s="2"/>
      <c r="Q33" s="2"/>
      <c r="R33" s="2"/>
      <c r="S33" s="2"/>
      <c r="T33" s="2"/>
      <c r="U33" s="2"/>
      <c r="V33" s="2"/>
      <c r="W33" s="2"/>
      <c r="X33" s="2"/>
      <c r="Y33" s="2"/>
      <c r="Z33" s="2"/>
    </row>
    <row r="34" spans="1:26">
      <c r="A34" s="6"/>
      <c r="B34" s="6"/>
      <c r="C34" s="6"/>
      <c r="D34" s="6"/>
      <c r="E34" s="6"/>
      <c r="F34" s="6"/>
      <c r="G34" s="6"/>
      <c r="H34" s="6"/>
      <c r="I34" s="2"/>
      <c r="J34" s="2"/>
      <c r="K34" s="2"/>
      <c r="L34" s="2"/>
      <c r="M34" s="2"/>
      <c r="N34" s="2"/>
      <c r="O34" s="2"/>
      <c r="P34" s="2"/>
      <c r="Q34" s="2"/>
      <c r="R34" s="2"/>
      <c r="S34" s="2"/>
      <c r="T34" s="2"/>
      <c r="U34" s="2"/>
      <c r="V34" s="2"/>
      <c r="W34" s="2"/>
      <c r="X34" s="2"/>
      <c r="Y34" s="2"/>
      <c r="Z34" s="2"/>
    </row>
    <row r="35" spans="1:26">
      <c r="A35" s="2"/>
      <c r="B35" s="2"/>
      <c r="C35" s="2"/>
      <c r="D35" s="2"/>
      <c r="E35" s="2"/>
      <c r="F35" s="2"/>
      <c r="G35" s="2"/>
      <c r="H35" s="2"/>
      <c r="I35" s="2"/>
      <c r="J35" s="2"/>
      <c r="K35" s="2"/>
      <c r="L35" s="2"/>
      <c r="M35" s="2"/>
      <c r="N35" s="2"/>
      <c r="O35" s="2"/>
      <c r="P35" s="2"/>
      <c r="Q35" s="2"/>
      <c r="R35" s="2"/>
      <c r="S35" s="2"/>
      <c r="T35" s="2"/>
      <c r="U35" s="2"/>
      <c r="V35" s="2"/>
      <c r="W35" s="2"/>
      <c r="X35" s="2"/>
      <c r="Y35" s="2"/>
      <c r="Z35" s="2"/>
    </row>
    <row r="36" spans="1:26">
      <c r="A36" s="2"/>
      <c r="B36" s="2"/>
      <c r="C36" s="2"/>
      <c r="D36" s="2"/>
      <c r="E36" s="2"/>
      <c r="F36" s="2"/>
      <c r="G36" s="2"/>
      <c r="H36" s="2"/>
      <c r="I36" s="2"/>
      <c r="J36" s="2"/>
      <c r="K36" s="2"/>
      <c r="L36" s="2"/>
      <c r="M36" s="2"/>
      <c r="N36" s="2"/>
      <c r="O36" s="2"/>
      <c r="P36" s="2"/>
      <c r="Q36" s="2"/>
      <c r="R36" s="2"/>
      <c r="S36" s="2"/>
      <c r="T36" s="2"/>
      <c r="U36" s="2"/>
      <c r="V36" s="2"/>
      <c r="W36" s="2"/>
      <c r="X36" s="2"/>
      <c r="Y36" s="2"/>
      <c r="Z36" s="2"/>
    </row>
    <row r="37" spans="1:26">
      <c r="A37" s="2"/>
      <c r="B37" s="2"/>
      <c r="C37" s="2"/>
      <c r="D37" s="2"/>
      <c r="E37" s="2"/>
      <c r="F37" s="2"/>
      <c r="G37" s="2"/>
      <c r="H37" s="2"/>
      <c r="I37" s="2"/>
      <c r="J37" s="2"/>
      <c r="K37" s="2"/>
      <c r="L37" s="2"/>
      <c r="M37" s="2"/>
      <c r="N37" s="2"/>
      <c r="O37" s="2"/>
      <c r="P37" s="2"/>
      <c r="Q37" s="2"/>
      <c r="R37" s="2"/>
      <c r="S37" s="2"/>
      <c r="T37" s="2"/>
      <c r="U37" s="2"/>
      <c r="V37" s="2"/>
      <c r="W37" s="2"/>
      <c r="X37" s="2"/>
      <c r="Y37" s="2"/>
      <c r="Z37" s="2"/>
    </row>
    <row r="38" spans="1:26">
      <c r="A38" s="2"/>
      <c r="B38" s="2"/>
      <c r="C38" s="2"/>
      <c r="D38" s="2"/>
      <c r="E38" s="2"/>
      <c r="F38" s="2"/>
      <c r="G38" s="2"/>
      <c r="H38" s="2"/>
      <c r="I38" s="2"/>
      <c r="J38" s="2"/>
      <c r="K38" s="2"/>
      <c r="L38" s="2"/>
      <c r="M38" s="2"/>
      <c r="N38" s="2"/>
      <c r="O38" s="2"/>
      <c r="P38" s="2"/>
      <c r="Q38" s="2"/>
      <c r="R38" s="2"/>
      <c r="S38" s="2"/>
      <c r="T38" s="2"/>
      <c r="U38" s="2"/>
      <c r="V38" s="2"/>
      <c r="W38" s="2"/>
      <c r="X38" s="2"/>
      <c r="Y38" s="2"/>
      <c r="Z38" s="2"/>
    </row>
    <row r="39" spans="1:26">
      <c r="A39" s="2"/>
      <c r="B39" s="2"/>
      <c r="C39" s="2"/>
      <c r="D39" s="2"/>
      <c r="E39" s="2"/>
      <c r="F39" s="2"/>
      <c r="G39" s="2"/>
      <c r="H39" s="2"/>
      <c r="I39" s="2"/>
      <c r="J39" s="2"/>
      <c r="K39" s="2"/>
      <c r="L39" s="2"/>
      <c r="M39" s="2"/>
      <c r="N39" s="2"/>
      <c r="O39" s="2"/>
      <c r="P39" s="2"/>
      <c r="Q39" s="2"/>
      <c r="R39" s="2"/>
      <c r="S39" s="2"/>
      <c r="T39" s="2"/>
      <c r="U39" s="2"/>
      <c r="V39" s="2"/>
      <c r="W39" s="2"/>
      <c r="X39" s="2"/>
      <c r="Y39" s="2"/>
      <c r="Z39" s="2"/>
    </row>
    <row r="40" spans="1:26">
      <c r="A40" s="2"/>
      <c r="B40" s="2"/>
      <c r="C40" s="2"/>
      <c r="D40" s="2"/>
      <c r="E40" s="2"/>
      <c r="F40" s="2"/>
      <c r="G40" s="2"/>
      <c r="H40" s="2"/>
      <c r="I40" s="2"/>
      <c r="J40" s="2"/>
      <c r="K40" s="2"/>
      <c r="L40" s="2"/>
      <c r="M40" s="2"/>
      <c r="N40" s="2"/>
      <c r="O40" s="2"/>
      <c r="P40" s="2"/>
      <c r="Q40" s="2"/>
      <c r="R40" s="2"/>
      <c r="S40" s="2"/>
      <c r="T40" s="2"/>
      <c r="U40" s="2"/>
      <c r="V40" s="2"/>
      <c r="W40" s="2"/>
      <c r="X40" s="2"/>
      <c r="Y40" s="2"/>
      <c r="Z40" s="2"/>
    </row>
    <row r="41" spans="1:26">
      <c r="A41" s="2"/>
      <c r="B41" s="2"/>
      <c r="C41" s="2"/>
      <c r="D41" s="2"/>
      <c r="E41" s="2"/>
      <c r="F41" s="2"/>
      <c r="G41" s="2"/>
      <c r="H41" s="2"/>
      <c r="I41" s="2"/>
      <c r="J41" s="2"/>
      <c r="K41" s="2"/>
      <c r="L41" s="2"/>
      <c r="M41" s="2"/>
      <c r="N41" s="2"/>
      <c r="O41" s="2"/>
      <c r="P41" s="2"/>
      <c r="Q41" s="2"/>
      <c r="R41" s="2"/>
      <c r="S41" s="2"/>
      <c r="T41" s="2"/>
      <c r="U41" s="2"/>
      <c r="V41" s="2"/>
      <c r="W41" s="2"/>
      <c r="X41" s="2"/>
      <c r="Y41" s="2"/>
      <c r="Z41" s="2"/>
    </row>
    <row r="42" spans="1:26">
      <c r="A42" s="2"/>
      <c r="B42" s="2"/>
      <c r="C42" s="2"/>
      <c r="D42" s="2"/>
      <c r="E42" s="2"/>
      <c r="F42" s="2"/>
      <c r="G42" s="2"/>
      <c r="H42" s="2"/>
      <c r="I42" s="2"/>
      <c r="J42" s="2"/>
      <c r="K42" s="2"/>
      <c r="L42" s="2"/>
      <c r="M42" s="2"/>
      <c r="N42" s="2"/>
      <c r="O42" s="2"/>
      <c r="P42" s="2"/>
      <c r="Q42" s="2"/>
      <c r="R42" s="2"/>
      <c r="S42" s="2"/>
      <c r="T42" s="2"/>
      <c r="U42" s="2"/>
      <c r="V42" s="2"/>
      <c r="W42" s="2"/>
      <c r="X42" s="2"/>
      <c r="Y42" s="2"/>
      <c r="Z42" s="2"/>
    </row>
    <row r="43" spans="1:26">
      <c r="A43" s="2"/>
      <c r="B43" s="2"/>
      <c r="C43" s="2"/>
      <c r="D43" s="2"/>
      <c r="E43" s="2"/>
      <c r="F43" s="2"/>
      <c r="G43" s="2"/>
      <c r="H43" s="2"/>
      <c r="I43" s="2"/>
      <c r="J43" s="2"/>
      <c r="K43" s="2"/>
      <c r="L43" s="2"/>
      <c r="M43" s="2"/>
      <c r="N43" s="2"/>
      <c r="O43" s="2"/>
      <c r="P43" s="2"/>
      <c r="Q43" s="2"/>
      <c r="R43" s="2"/>
      <c r="S43" s="2"/>
      <c r="T43" s="2"/>
      <c r="U43" s="2"/>
      <c r="V43" s="2"/>
      <c r="W43" s="2"/>
      <c r="X43" s="2"/>
      <c r="Y43" s="2"/>
      <c r="Z43" s="2"/>
    </row>
    <row r="44" spans="1:26">
      <c r="A44" s="2"/>
      <c r="B44" s="2"/>
      <c r="C44" s="2"/>
      <c r="D44" s="2"/>
      <c r="E44" s="2"/>
      <c r="F44" s="2"/>
      <c r="G44" s="2"/>
      <c r="H44" s="2"/>
      <c r="I44" s="2"/>
      <c r="J44" s="2"/>
      <c r="K44" s="2"/>
      <c r="L44" s="2"/>
      <c r="M44" s="2"/>
      <c r="N44" s="2"/>
      <c r="O44" s="2"/>
      <c r="P44" s="2"/>
      <c r="Q44" s="2"/>
      <c r="R44" s="2"/>
      <c r="S44" s="2"/>
      <c r="T44" s="2"/>
      <c r="U44" s="2"/>
      <c r="V44" s="2"/>
      <c r="W44" s="2"/>
      <c r="X44" s="2"/>
      <c r="Y44" s="2"/>
      <c r="Z44" s="2"/>
    </row>
    <row r="45" spans="1:26">
      <c r="A45" s="2"/>
      <c r="B45" s="2"/>
      <c r="C45" s="2"/>
      <c r="D45" s="2"/>
      <c r="E45" s="2"/>
      <c r="F45" s="2"/>
      <c r="G45" s="2"/>
      <c r="H45" s="2"/>
      <c r="I45" s="2"/>
      <c r="J45" s="2"/>
      <c r="K45" s="2"/>
      <c r="L45" s="2"/>
      <c r="M45" s="2"/>
      <c r="N45" s="2"/>
      <c r="O45" s="2"/>
      <c r="P45" s="2"/>
      <c r="Q45" s="2"/>
      <c r="R45" s="2"/>
      <c r="S45" s="2"/>
      <c r="T45" s="2"/>
      <c r="U45" s="2"/>
      <c r="V45" s="2"/>
      <c r="W45" s="2"/>
      <c r="X45" s="2"/>
      <c r="Y45" s="2"/>
      <c r="Z45" s="2"/>
    </row>
    <row r="46" spans="1:26">
      <c r="A46" s="2"/>
      <c r="B46" s="2"/>
      <c r="C46" s="2"/>
      <c r="D46" s="2"/>
      <c r="E46" s="2"/>
      <c r="F46" s="2"/>
      <c r="G46" s="2"/>
      <c r="H46" s="2"/>
      <c r="I46" s="2"/>
      <c r="J46" s="2"/>
      <c r="K46" s="2"/>
      <c r="L46" s="2"/>
      <c r="M46" s="2"/>
      <c r="N46" s="2"/>
      <c r="O46" s="2"/>
      <c r="P46" s="2"/>
      <c r="Q46" s="2"/>
      <c r="R46" s="2"/>
      <c r="S46" s="2"/>
      <c r="T46" s="2"/>
      <c r="U46" s="2"/>
      <c r="V46" s="2"/>
      <c r="W46" s="2"/>
      <c r="X46" s="2"/>
      <c r="Y46" s="2"/>
      <c r="Z46" s="2"/>
    </row>
    <row r="47" spans="1:26">
      <c r="A47" s="2"/>
      <c r="B47" s="2"/>
      <c r="C47" s="2"/>
      <c r="D47" s="2"/>
      <c r="E47" s="2"/>
      <c r="F47" s="2"/>
      <c r="G47" s="2"/>
      <c r="H47" s="2"/>
      <c r="I47" s="2"/>
      <c r="J47" s="2"/>
      <c r="K47" s="2"/>
      <c r="L47" s="2"/>
      <c r="M47" s="2"/>
      <c r="N47" s="2"/>
      <c r="O47" s="2"/>
      <c r="P47" s="2"/>
      <c r="Q47" s="2"/>
      <c r="R47" s="2"/>
      <c r="S47" s="2"/>
      <c r="T47" s="2"/>
      <c r="U47" s="2"/>
      <c r="V47" s="2"/>
      <c r="W47" s="2"/>
      <c r="X47" s="2"/>
      <c r="Y47" s="2"/>
      <c r="Z47" s="2"/>
    </row>
    <row r="48" spans="1:26">
      <c r="A48" s="2"/>
      <c r="B48" s="2"/>
      <c r="C48" s="2"/>
      <c r="D48" s="2"/>
      <c r="E48" s="2"/>
      <c r="F48" s="2"/>
      <c r="G48" s="2"/>
      <c r="H48" s="2"/>
      <c r="I48" s="2"/>
      <c r="J48" s="2"/>
      <c r="K48" s="2"/>
      <c r="L48" s="2"/>
      <c r="M48" s="2"/>
      <c r="N48" s="2"/>
      <c r="O48" s="2"/>
      <c r="P48" s="2"/>
      <c r="Q48" s="2"/>
      <c r="R48" s="2"/>
      <c r="S48" s="2"/>
      <c r="T48" s="2"/>
      <c r="U48" s="2"/>
      <c r="V48" s="2"/>
      <c r="W48" s="2"/>
      <c r="X48" s="2"/>
      <c r="Y48" s="2"/>
      <c r="Z48" s="2"/>
    </row>
    <row r="49" spans="1:26">
      <c r="A49" s="2"/>
      <c r="B49" s="2"/>
      <c r="C49" s="2"/>
      <c r="D49" s="2"/>
      <c r="E49" s="2"/>
      <c r="F49" s="2"/>
      <c r="G49" s="2"/>
      <c r="H49" s="2"/>
      <c r="I49" s="2"/>
      <c r="J49" s="2"/>
      <c r="K49" s="2"/>
      <c r="L49" s="2"/>
      <c r="M49" s="2"/>
      <c r="N49" s="2"/>
      <c r="O49" s="2"/>
      <c r="P49" s="2"/>
      <c r="Q49" s="2"/>
      <c r="R49" s="2"/>
      <c r="S49" s="2"/>
      <c r="T49" s="2"/>
      <c r="U49" s="2"/>
      <c r="V49" s="2"/>
      <c r="W49" s="2"/>
      <c r="X49" s="2"/>
      <c r="Y49" s="2"/>
      <c r="Z49" s="2"/>
    </row>
    <row r="50" spans="1:26">
      <c r="A50" s="2"/>
      <c r="B50" s="2"/>
      <c r="C50" s="2"/>
      <c r="D50" s="2"/>
      <c r="E50" s="2"/>
      <c r="F50" s="2"/>
      <c r="G50" s="2"/>
      <c r="H50" s="2"/>
      <c r="I50" s="2"/>
      <c r="J50" s="2"/>
      <c r="K50" s="2"/>
      <c r="L50" s="2"/>
      <c r="M50" s="2"/>
      <c r="N50" s="2"/>
      <c r="O50" s="2"/>
      <c r="P50" s="2"/>
      <c r="Q50" s="2"/>
      <c r="R50" s="2"/>
      <c r="S50" s="2"/>
      <c r="T50" s="2"/>
      <c r="U50" s="2"/>
      <c r="V50" s="2"/>
      <c r="W50" s="2"/>
      <c r="X50" s="2"/>
      <c r="Y50" s="2"/>
      <c r="Z50" s="2"/>
    </row>
    <row r="51" spans="1:26">
      <c r="A51" s="2"/>
      <c r="B51" s="2"/>
      <c r="C51" s="2"/>
      <c r="D51" s="2"/>
      <c r="E51" s="2"/>
      <c r="F51" s="2"/>
      <c r="G51" s="2"/>
      <c r="H51" s="2"/>
      <c r="I51" s="2"/>
      <c r="J51" s="2"/>
      <c r="K51" s="2"/>
      <c r="L51" s="2"/>
      <c r="M51" s="2"/>
      <c r="N51" s="2"/>
      <c r="O51" s="2"/>
      <c r="P51" s="2"/>
      <c r="Q51" s="2"/>
      <c r="R51" s="2"/>
      <c r="S51" s="2"/>
      <c r="T51" s="2"/>
      <c r="U51" s="2"/>
      <c r="V51" s="2"/>
      <c r="W51" s="2"/>
      <c r="X51" s="2"/>
      <c r="Y51" s="2"/>
      <c r="Z51" s="2"/>
    </row>
    <row r="52" spans="1:26">
      <c r="A52" s="2"/>
      <c r="B52" s="2"/>
      <c r="C52" s="2"/>
      <c r="D52" s="2"/>
      <c r="E52" s="2"/>
      <c r="F52" s="2"/>
      <c r="G52" s="2"/>
      <c r="H52" s="2"/>
      <c r="I52" s="2"/>
      <c r="J52" s="2"/>
      <c r="K52" s="2"/>
      <c r="L52" s="2"/>
      <c r="M52" s="2"/>
      <c r="N52" s="2"/>
      <c r="O52" s="2"/>
      <c r="P52" s="2"/>
      <c r="Q52" s="2"/>
      <c r="R52" s="2"/>
      <c r="S52" s="2"/>
      <c r="T52" s="2"/>
      <c r="U52" s="2"/>
      <c r="V52" s="2"/>
      <c r="W52" s="2"/>
      <c r="X52" s="2"/>
      <c r="Y52" s="2"/>
      <c r="Z52" s="2"/>
    </row>
    <row r="53" spans="1:26">
      <c r="A53" s="2"/>
      <c r="B53" s="2"/>
      <c r="C53" s="2"/>
      <c r="D53" s="2"/>
      <c r="E53" s="2"/>
      <c r="F53" s="2"/>
      <c r="G53" s="2"/>
      <c r="H53" s="2"/>
      <c r="I53" s="2"/>
      <c r="J53" s="2"/>
      <c r="K53" s="2"/>
      <c r="L53" s="2"/>
      <c r="M53" s="2"/>
      <c r="N53" s="2"/>
      <c r="O53" s="2"/>
      <c r="P53" s="2"/>
      <c r="Q53" s="2"/>
      <c r="R53" s="2"/>
      <c r="S53" s="2"/>
      <c r="T53" s="2"/>
      <c r="U53" s="2"/>
      <c r="V53" s="2"/>
      <c r="W53" s="2"/>
      <c r="X53" s="2"/>
      <c r="Y53" s="2"/>
      <c r="Z53" s="2"/>
    </row>
    <row r="54" spans="1:26">
      <c r="A54" s="2"/>
      <c r="B54" s="2"/>
      <c r="C54" s="2"/>
      <c r="D54" s="2"/>
      <c r="E54" s="2"/>
      <c r="F54" s="2"/>
      <c r="G54" s="2"/>
      <c r="H54" s="2"/>
      <c r="I54" s="2"/>
      <c r="J54" s="2"/>
      <c r="K54" s="2"/>
      <c r="L54" s="2"/>
      <c r="M54" s="2"/>
      <c r="N54" s="2"/>
      <c r="O54" s="2"/>
      <c r="P54" s="2"/>
      <c r="Q54" s="2"/>
      <c r="R54" s="2"/>
      <c r="S54" s="2"/>
      <c r="T54" s="2"/>
      <c r="U54" s="2"/>
      <c r="V54" s="2"/>
      <c r="W54" s="2"/>
      <c r="X54" s="2"/>
      <c r="Y54" s="2"/>
      <c r="Z54" s="2"/>
    </row>
    <row r="55" spans="1:26">
      <c r="A55" s="2"/>
      <c r="B55" s="2"/>
      <c r="C55" s="2"/>
      <c r="D55" s="2"/>
      <c r="E55" s="2"/>
      <c r="F55" s="2"/>
      <c r="G55" s="2"/>
      <c r="H55" s="2"/>
      <c r="I55" s="2"/>
      <c r="J55" s="2"/>
      <c r="K55" s="2"/>
      <c r="L55" s="2"/>
      <c r="M55" s="2"/>
      <c r="N55" s="2"/>
      <c r="O55" s="2"/>
      <c r="P55" s="2"/>
      <c r="Q55" s="2"/>
      <c r="R55" s="2"/>
      <c r="S55" s="2"/>
      <c r="T55" s="2"/>
      <c r="U55" s="2"/>
      <c r="V55" s="2"/>
      <c r="W55" s="2"/>
      <c r="X55" s="2"/>
      <c r="Y55" s="2"/>
      <c r="Z55" s="2"/>
    </row>
    <row r="56" spans="1:26">
      <c r="A56" s="2"/>
      <c r="B56" s="2"/>
      <c r="C56" s="2"/>
      <c r="D56" s="2"/>
      <c r="E56" s="2"/>
      <c r="F56" s="2"/>
      <c r="G56" s="2"/>
      <c r="H56" s="2"/>
      <c r="I56" s="2"/>
      <c r="J56" s="2"/>
      <c r="K56" s="2"/>
      <c r="L56" s="2"/>
      <c r="M56" s="2"/>
      <c r="N56" s="2"/>
      <c r="O56" s="2"/>
      <c r="P56" s="2"/>
      <c r="Q56" s="2"/>
      <c r="R56" s="2"/>
      <c r="S56" s="2"/>
      <c r="T56" s="2"/>
      <c r="U56" s="2"/>
      <c r="V56" s="2"/>
      <c r="W56" s="2"/>
      <c r="X56" s="2"/>
      <c r="Y56" s="2"/>
      <c r="Z56" s="2"/>
    </row>
    <row r="57" spans="1:26">
      <c r="A57" s="2"/>
      <c r="B57" s="2"/>
      <c r="C57" s="2"/>
      <c r="D57" s="2"/>
      <c r="E57" s="2"/>
      <c r="F57" s="2"/>
      <c r="G57" s="2"/>
      <c r="H57" s="2"/>
      <c r="I57" s="2"/>
      <c r="J57" s="2"/>
      <c r="K57" s="2"/>
      <c r="L57" s="2"/>
      <c r="M57" s="2"/>
      <c r="N57" s="2"/>
      <c r="O57" s="2"/>
      <c r="P57" s="2"/>
      <c r="Q57" s="2"/>
      <c r="R57" s="2"/>
      <c r="S57" s="2"/>
      <c r="T57" s="2"/>
      <c r="U57" s="2"/>
      <c r="V57" s="2"/>
      <c r="W57" s="2"/>
      <c r="X57" s="2"/>
      <c r="Y57" s="2"/>
      <c r="Z57" s="2"/>
    </row>
    <row r="58" spans="1:26">
      <c r="A58" s="2"/>
      <c r="B58" s="2"/>
      <c r="C58" s="2"/>
      <c r="D58" s="2"/>
      <c r="E58" s="2"/>
      <c r="F58" s="2"/>
      <c r="G58" s="2"/>
      <c r="H58" s="2"/>
      <c r="I58" s="2"/>
      <c r="J58" s="2"/>
      <c r="K58" s="2"/>
      <c r="L58" s="2"/>
      <c r="M58" s="2"/>
      <c r="N58" s="2"/>
      <c r="O58" s="2"/>
      <c r="P58" s="2"/>
      <c r="Q58" s="2"/>
      <c r="R58" s="2"/>
      <c r="S58" s="2"/>
      <c r="T58" s="2"/>
      <c r="U58" s="2"/>
      <c r="V58" s="2"/>
      <c r="W58" s="2"/>
      <c r="X58" s="2"/>
      <c r="Y58" s="2"/>
      <c r="Z58" s="2"/>
    </row>
    <row r="59" spans="1:26">
      <c r="A59" s="2"/>
      <c r="B59" s="2"/>
      <c r="C59" s="2"/>
      <c r="D59" s="2"/>
      <c r="E59" s="2"/>
      <c r="F59" s="2"/>
      <c r="G59" s="2"/>
      <c r="H59" s="2"/>
      <c r="I59" s="2"/>
      <c r="J59" s="2"/>
      <c r="K59" s="2"/>
      <c r="L59" s="2"/>
      <c r="M59" s="2"/>
      <c r="N59" s="2"/>
      <c r="O59" s="2"/>
      <c r="P59" s="2"/>
      <c r="Q59" s="2"/>
      <c r="R59" s="2"/>
      <c r="S59" s="2"/>
      <c r="T59" s="2"/>
      <c r="U59" s="2"/>
      <c r="V59" s="2"/>
      <c r="W59" s="2"/>
      <c r="X59" s="2"/>
      <c r="Y59" s="2"/>
      <c r="Z59" s="2"/>
    </row>
    <row r="60" spans="1:26">
      <c r="A60" s="2"/>
      <c r="B60" s="2"/>
      <c r="C60" s="2"/>
      <c r="D60" s="2"/>
      <c r="E60" s="2"/>
      <c r="F60" s="2"/>
      <c r="G60" s="2"/>
      <c r="H60" s="2"/>
      <c r="I60" s="2"/>
      <c r="J60" s="2"/>
      <c r="K60" s="2"/>
      <c r="L60" s="2"/>
      <c r="M60" s="2"/>
      <c r="N60" s="2"/>
      <c r="O60" s="2"/>
      <c r="P60" s="2"/>
      <c r="Q60" s="2"/>
      <c r="R60" s="2"/>
      <c r="S60" s="2"/>
      <c r="T60" s="2"/>
      <c r="U60" s="2"/>
      <c r="V60" s="2"/>
      <c r="W60" s="2"/>
      <c r="X60" s="2"/>
      <c r="Y60" s="2"/>
      <c r="Z60" s="2"/>
    </row>
    <row r="61" spans="1:26">
      <c r="A61" s="2"/>
      <c r="B61" s="2"/>
      <c r="C61" s="2"/>
      <c r="D61" s="2"/>
      <c r="E61" s="2"/>
      <c r="F61" s="2"/>
      <c r="G61" s="2"/>
      <c r="H61" s="2"/>
      <c r="I61" s="2"/>
      <c r="J61" s="2"/>
      <c r="K61" s="2"/>
      <c r="L61" s="2"/>
      <c r="M61" s="2"/>
      <c r="N61" s="2"/>
      <c r="O61" s="2"/>
      <c r="P61" s="2"/>
      <c r="Q61" s="2"/>
      <c r="R61" s="2"/>
      <c r="S61" s="2"/>
      <c r="T61" s="2"/>
      <c r="U61" s="2"/>
      <c r="V61" s="2"/>
      <c r="W61" s="2"/>
      <c r="X61" s="2"/>
      <c r="Y61" s="2"/>
      <c r="Z61" s="2"/>
    </row>
    <row r="62" spans="1:26">
      <c r="A62" s="2"/>
      <c r="B62" s="2"/>
      <c r="C62" s="2"/>
      <c r="D62" s="2"/>
      <c r="E62" s="2"/>
      <c r="F62" s="2"/>
      <c r="G62" s="2"/>
      <c r="H62" s="2"/>
      <c r="I62" s="2"/>
      <c r="J62" s="2"/>
      <c r="K62" s="2"/>
      <c r="L62" s="2"/>
      <c r="M62" s="2"/>
      <c r="N62" s="2"/>
      <c r="O62" s="2"/>
      <c r="P62" s="2"/>
      <c r="Q62" s="2"/>
      <c r="R62" s="2"/>
      <c r="S62" s="2"/>
      <c r="T62" s="2"/>
      <c r="U62" s="2"/>
      <c r="V62" s="2"/>
      <c r="W62" s="2"/>
      <c r="X62" s="2"/>
      <c r="Y62" s="2"/>
      <c r="Z62" s="2"/>
    </row>
    <row r="63" spans="1:26">
      <c r="A63" s="2"/>
      <c r="B63" s="2"/>
      <c r="C63" s="2"/>
      <c r="D63" s="2"/>
      <c r="E63" s="2"/>
      <c r="F63" s="2"/>
      <c r="G63" s="2"/>
      <c r="H63" s="2"/>
      <c r="I63" s="2"/>
      <c r="J63" s="2"/>
      <c r="K63" s="2"/>
      <c r="L63" s="2"/>
      <c r="M63" s="2"/>
      <c r="N63" s="2"/>
      <c r="O63" s="2"/>
      <c r="P63" s="2"/>
      <c r="Q63" s="2"/>
      <c r="R63" s="2"/>
      <c r="S63" s="2"/>
      <c r="T63" s="2"/>
      <c r="U63" s="2"/>
      <c r="V63" s="2"/>
      <c r="W63" s="2"/>
      <c r="X63" s="2"/>
      <c r="Y63" s="2"/>
      <c r="Z63" s="2"/>
    </row>
    <row r="64" spans="1:26">
      <c r="A64" s="2"/>
      <c r="B64" s="2"/>
      <c r="C64" s="2"/>
      <c r="D64" s="2"/>
      <c r="E64" s="2"/>
      <c r="F64" s="2"/>
      <c r="G64" s="2"/>
      <c r="H64" s="2"/>
      <c r="I64" s="2"/>
      <c r="J64" s="2"/>
      <c r="K64" s="2"/>
      <c r="L64" s="2"/>
      <c r="M64" s="2"/>
      <c r="N64" s="2"/>
      <c r="O64" s="2"/>
      <c r="P64" s="2"/>
      <c r="Q64" s="2"/>
      <c r="R64" s="2"/>
      <c r="S64" s="2"/>
      <c r="T64" s="2"/>
      <c r="U64" s="2"/>
      <c r="V64" s="2"/>
      <c r="W64" s="2"/>
      <c r="X64" s="2"/>
      <c r="Y64" s="2"/>
      <c r="Z64" s="2"/>
    </row>
    <row r="65" spans="1:26">
      <c r="A65" s="2"/>
      <c r="B65" s="2"/>
      <c r="C65" s="2"/>
      <c r="D65" s="2"/>
      <c r="E65" s="2"/>
      <c r="F65" s="2"/>
      <c r="G65" s="2"/>
      <c r="H65" s="2"/>
      <c r="I65" s="2"/>
      <c r="J65" s="2"/>
      <c r="K65" s="2"/>
      <c r="L65" s="2"/>
      <c r="M65" s="2"/>
      <c r="N65" s="2"/>
      <c r="O65" s="2"/>
      <c r="P65" s="2"/>
      <c r="Q65" s="2"/>
      <c r="R65" s="2"/>
      <c r="S65" s="2"/>
      <c r="T65" s="2"/>
      <c r="U65" s="2"/>
      <c r="V65" s="2"/>
      <c r="W65" s="2"/>
      <c r="X65" s="2"/>
      <c r="Y65" s="2"/>
      <c r="Z65" s="2"/>
    </row>
    <row r="66" spans="1:26">
      <c r="A66" s="2"/>
      <c r="B66" s="2"/>
      <c r="C66" s="2"/>
      <c r="D66" s="2"/>
      <c r="E66" s="2"/>
      <c r="F66" s="2"/>
      <c r="G66" s="2"/>
      <c r="H66" s="2"/>
      <c r="I66" s="2"/>
      <c r="J66" s="2"/>
      <c r="K66" s="2"/>
      <c r="L66" s="2"/>
      <c r="M66" s="2"/>
      <c r="N66" s="2"/>
      <c r="O66" s="2"/>
      <c r="P66" s="2"/>
      <c r="Q66" s="2"/>
      <c r="R66" s="2"/>
      <c r="S66" s="2"/>
      <c r="T66" s="2"/>
      <c r="U66" s="2"/>
      <c r="V66" s="2"/>
      <c r="W66" s="2"/>
      <c r="X66" s="2"/>
      <c r="Y66" s="2"/>
      <c r="Z66" s="2"/>
    </row>
    <row r="67" spans="1:26">
      <c r="A67" s="2"/>
      <c r="B67" s="2"/>
      <c r="C67" s="2"/>
      <c r="D67" s="2"/>
      <c r="E67" s="2"/>
      <c r="F67" s="2"/>
      <c r="G67" s="2"/>
      <c r="H67" s="2"/>
      <c r="I67" s="2"/>
      <c r="J67" s="2"/>
      <c r="K67" s="2"/>
      <c r="L67" s="2"/>
      <c r="M67" s="2"/>
      <c r="N67" s="2"/>
      <c r="O67" s="2"/>
      <c r="P67" s="2"/>
      <c r="Q67" s="2"/>
      <c r="R67" s="2"/>
      <c r="S67" s="2"/>
      <c r="T67" s="2"/>
      <c r="U67" s="2"/>
      <c r="V67" s="2"/>
      <c r="W67" s="2"/>
      <c r="X67" s="2"/>
      <c r="Y67" s="2"/>
      <c r="Z67" s="2"/>
    </row>
    <row r="68" spans="1:26">
      <c r="A68" s="2"/>
      <c r="B68" s="2"/>
      <c r="C68" s="2"/>
      <c r="D68" s="2"/>
      <c r="E68" s="2"/>
      <c r="F68" s="2"/>
      <c r="G68" s="2"/>
      <c r="H68" s="2"/>
      <c r="I68" s="2"/>
      <c r="J68" s="2"/>
      <c r="K68" s="2"/>
      <c r="L68" s="2"/>
      <c r="M68" s="2"/>
      <c r="N68" s="2"/>
      <c r="O68" s="2"/>
      <c r="P68" s="2"/>
      <c r="Q68" s="2"/>
      <c r="R68" s="2"/>
      <c r="S68" s="2"/>
      <c r="T68" s="2"/>
      <c r="U68" s="2"/>
      <c r="V68" s="2"/>
      <c r="W68" s="2"/>
      <c r="X68" s="2"/>
      <c r="Y68" s="2"/>
      <c r="Z68" s="2"/>
    </row>
    <row r="69" spans="1:26">
      <c r="A69" s="2"/>
      <c r="B69" s="2"/>
      <c r="C69" s="2"/>
      <c r="D69" s="2"/>
      <c r="E69" s="2"/>
      <c r="F69" s="2"/>
      <c r="G69" s="2"/>
      <c r="H69" s="2"/>
      <c r="I69" s="2"/>
      <c r="J69" s="2"/>
      <c r="K69" s="2"/>
      <c r="L69" s="2"/>
      <c r="M69" s="2"/>
      <c r="N69" s="2"/>
      <c r="O69" s="2"/>
      <c r="P69" s="2"/>
      <c r="Q69" s="2"/>
      <c r="R69" s="2"/>
      <c r="S69" s="2"/>
      <c r="T69" s="2"/>
      <c r="U69" s="2"/>
      <c r="V69" s="2"/>
      <c r="W69" s="2"/>
      <c r="X69" s="2"/>
      <c r="Y69" s="2"/>
      <c r="Z69" s="2"/>
    </row>
    <row r="70" spans="1:26">
      <c r="A70" s="2"/>
      <c r="B70" s="2"/>
      <c r="C70" s="2"/>
      <c r="D70" s="2"/>
      <c r="E70" s="2"/>
      <c r="F70" s="2"/>
      <c r="G70" s="2"/>
      <c r="H70" s="2"/>
      <c r="I70" s="2"/>
      <c r="J70" s="2"/>
      <c r="K70" s="2"/>
      <c r="L70" s="2"/>
      <c r="M70" s="2"/>
      <c r="N70" s="2"/>
      <c r="O70" s="2"/>
      <c r="P70" s="2"/>
      <c r="Q70" s="2"/>
      <c r="R70" s="2"/>
      <c r="S70" s="2"/>
      <c r="T70" s="2"/>
      <c r="U70" s="2"/>
      <c r="V70" s="2"/>
      <c r="W70" s="2"/>
      <c r="X70" s="2"/>
      <c r="Y70" s="2"/>
      <c r="Z70" s="2"/>
    </row>
    <row r="71" spans="1:26">
      <c r="A71" s="2"/>
      <c r="B71" s="2"/>
      <c r="C71" s="2"/>
      <c r="D71" s="2"/>
      <c r="E71" s="2"/>
      <c r="F71" s="2"/>
      <c r="G71" s="2"/>
      <c r="H71" s="2"/>
      <c r="I71" s="2"/>
      <c r="J71" s="2"/>
      <c r="K71" s="2"/>
      <c r="L71" s="2"/>
      <c r="M71" s="2"/>
      <c r="N71" s="2"/>
      <c r="O71" s="2"/>
      <c r="P71" s="2"/>
      <c r="Q71" s="2"/>
      <c r="R71" s="2"/>
      <c r="S71" s="2"/>
      <c r="T71" s="2"/>
      <c r="U71" s="2"/>
      <c r="V71" s="2"/>
      <c r="W71" s="2"/>
      <c r="X71" s="2"/>
      <c r="Y71" s="2"/>
      <c r="Z71" s="2"/>
    </row>
    <row r="72" spans="1:26">
      <c r="A72" s="2"/>
      <c r="B72" s="2"/>
      <c r="C72" s="2"/>
      <c r="D72" s="2"/>
      <c r="E72" s="2"/>
      <c r="F72" s="2"/>
      <c r="G72" s="2"/>
      <c r="H72" s="2"/>
      <c r="I72" s="2"/>
      <c r="J72" s="2"/>
      <c r="K72" s="2"/>
      <c r="L72" s="2"/>
      <c r="M72" s="2"/>
      <c r="N72" s="2"/>
      <c r="O72" s="2"/>
      <c r="P72" s="2"/>
      <c r="Q72" s="2"/>
      <c r="R72" s="2"/>
      <c r="S72" s="2"/>
      <c r="T72" s="2"/>
      <c r="U72" s="2"/>
      <c r="V72" s="2"/>
      <c r="W72" s="2"/>
      <c r="X72" s="2"/>
      <c r="Y72" s="2"/>
      <c r="Z72" s="2"/>
    </row>
    <row r="73" spans="1:26">
      <c r="A73" s="2"/>
      <c r="B73" s="2"/>
      <c r="C73" s="2"/>
      <c r="D73" s="2"/>
      <c r="E73" s="2"/>
      <c r="F73" s="2"/>
      <c r="G73" s="2"/>
      <c r="H73" s="2"/>
      <c r="I73" s="2"/>
      <c r="J73" s="2"/>
      <c r="K73" s="2"/>
      <c r="L73" s="2"/>
      <c r="M73" s="2"/>
      <c r="N73" s="2"/>
      <c r="O73" s="2"/>
      <c r="P73" s="2"/>
      <c r="Q73" s="2"/>
      <c r="R73" s="2"/>
      <c r="S73" s="2"/>
      <c r="T73" s="2"/>
      <c r="U73" s="2"/>
      <c r="V73" s="2"/>
      <c r="W73" s="2"/>
      <c r="X73" s="2"/>
      <c r="Y73" s="2"/>
      <c r="Z73" s="2"/>
    </row>
    <row r="74" spans="1:26">
      <c r="A74" s="2"/>
      <c r="B74" s="2"/>
      <c r="C74" s="2"/>
      <c r="D74" s="2"/>
      <c r="E74" s="2"/>
      <c r="F74" s="2"/>
      <c r="G74" s="2"/>
      <c r="H74" s="2"/>
      <c r="I74" s="2"/>
      <c r="J74" s="2"/>
      <c r="K74" s="2"/>
      <c r="L74" s="2"/>
      <c r="M74" s="2"/>
      <c r="N74" s="2"/>
      <c r="O74" s="2"/>
      <c r="P74" s="2"/>
      <c r="Q74" s="2"/>
      <c r="R74" s="2"/>
      <c r="S74" s="2"/>
      <c r="T74" s="2"/>
      <c r="U74" s="2"/>
      <c r="V74" s="2"/>
      <c r="W74" s="2"/>
      <c r="X74" s="2"/>
      <c r="Y74" s="2"/>
      <c r="Z74" s="2"/>
    </row>
    <row r="75" spans="1:26">
      <c r="A75" s="2"/>
      <c r="B75" s="2"/>
      <c r="C75" s="2"/>
      <c r="D75" s="2"/>
      <c r="E75" s="2"/>
      <c r="F75" s="2"/>
      <c r="G75" s="2"/>
      <c r="H75" s="2"/>
      <c r="I75" s="2"/>
      <c r="J75" s="2"/>
      <c r="K75" s="2"/>
      <c r="L75" s="2"/>
      <c r="M75" s="2"/>
      <c r="N75" s="2"/>
      <c r="O75" s="2"/>
      <c r="P75" s="2"/>
      <c r="Q75" s="2"/>
      <c r="R75" s="2"/>
      <c r="S75" s="2"/>
      <c r="T75" s="2"/>
      <c r="U75" s="2"/>
      <c r="V75" s="2"/>
      <c r="W75" s="2"/>
      <c r="X75" s="2"/>
      <c r="Y75" s="2"/>
      <c r="Z75" s="2"/>
    </row>
    <row r="76" spans="1:26">
      <c r="A76" s="2"/>
      <c r="B76" s="2"/>
      <c r="C76" s="2"/>
      <c r="D76" s="2"/>
      <c r="E76" s="2"/>
      <c r="F76" s="2"/>
      <c r="G76" s="2"/>
      <c r="H76" s="2"/>
      <c r="I76" s="2"/>
      <c r="J76" s="2"/>
      <c r="K76" s="2"/>
      <c r="L76" s="2"/>
      <c r="M76" s="2"/>
      <c r="N76" s="2"/>
      <c r="O76" s="2"/>
      <c r="P76" s="2"/>
      <c r="Q76" s="2"/>
      <c r="R76" s="2"/>
      <c r="S76" s="2"/>
      <c r="T76" s="2"/>
      <c r="U76" s="2"/>
      <c r="V76" s="2"/>
      <c r="W76" s="2"/>
      <c r="X76" s="2"/>
      <c r="Y76" s="2"/>
      <c r="Z76" s="2"/>
    </row>
    <row r="77" spans="1:26">
      <c r="A77" s="2"/>
      <c r="B77" s="2"/>
      <c r="C77" s="2"/>
      <c r="D77" s="2"/>
      <c r="E77" s="2"/>
      <c r="F77" s="2"/>
      <c r="G77" s="2"/>
      <c r="H77" s="2"/>
      <c r="I77" s="2"/>
      <c r="J77" s="2"/>
      <c r="K77" s="2"/>
      <c r="L77" s="2"/>
      <c r="M77" s="2"/>
      <c r="N77" s="2"/>
      <c r="O77" s="2"/>
      <c r="P77" s="2"/>
      <c r="Q77" s="2"/>
      <c r="R77" s="2"/>
      <c r="S77" s="2"/>
      <c r="T77" s="2"/>
      <c r="U77" s="2"/>
      <c r="V77" s="2"/>
      <c r="W77" s="2"/>
      <c r="X77" s="2"/>
      <c r="Y77" s="2"/>
      <c r="Z77" s="2"/>
    </row>
    <row r="78" spans="1:26">
      <c r="A78" s="2"/>
      <c r="B78" s="2"/>
      <c r="C78" s="2"/>
      <c r="D78" s="2"/>
      <c r="E78" s="2"/>
      <c r="F78" s="2"/>
      <c r="G78" s="2"/>
      <c r="H78" s="2"/>
      <c r="I78" s="2"/>
      <c r="J78" s="2"/>
      <c r="K78" s="2"/>
      <c r="L78" s="2"/>
      <c r="M78" s="2"/>
      <c r="N78" s="2"/>
      <c r="O78" s="2"/>
      <c r="P78" s="2"/>
      <c r="Q78" s="2"/>
      <c r="R78" s="2"/>
      <c r="S78" s="2"/>
      <c r="T78" s="2"/>
      <c r="U78" s="2"/>
      <c r="V78" s="2"/>
      <c r="W78" s="2"/>
      <c r="X78" s="2"/>
      <c r="Y78" s="2"/>
      <c r="Z78" s="2"/>
    </row>
    <row r="79" spans="1:26">
      <c r="A79" s="2"/>
      <c r="B79" s="2"/>
      <c r="C79" s="2"/>
      <c r="D79" s="2"/>
      <c r="E79" s="2"/>
      <c r="F79" s="2"/>
      <c r="G79" s="2"/>
      <c r="H79" s="2"/>
      <c r="I79" s="2"/>
      <c r="J79" s="2"/>
      <c r="K79" s="2"/>
      <c r="L79" s="2"/>
      <c r="M79" s="2"/>
      <c r="N79" s="2"/>
      <c r="O79" s="2"/>
      <c r="P79" s="2"/>
      <c r="Q79" s="2"/>
      <c r="R79" s="2"/>
      <c r="S79" s="2"/>
      <c r="T79" s="2"/>
      <c r="U79" s="2"/>
      <c r="V79" s="2"/>
      <c r="W79" s="2"/>
      <c r="X79" s="2"/>
      <c r="Y79" s="2"/>
      <c r="Z79" s="2"/>
    </row>
    <row r="80" spans="1:26">
      <c r="A80" s="2"/>
      <c r="B80" s="2"/>
      <c r="C80" s="2"/>
      <c r="D80" s="2"/>
      <c r="E80" s="2"/>
      <c r="F80" s="2"/>
      <c r="G80" s="2"/>
      <c r="H80" s="2"/>
      <c r="I80" s="2"/>
      <c r="J80" s="2"/>
      <c r="K80" s="2"/>
      <c r="L80" s="2"/>
      <c r="M80" s="2"/>
      <c r="N80" s="2"/>
      <c r="O80" s="2"/>
      <c r="P80" s="2"/>
      <c r="Q80" s="2"/>
      <c r="R80" s="2"/>
      <c r="S80" s="2"/>
      <c r="T80" s="2"/>
      <c r="U80" s="2"/>
      <c r="V80" s="2"/>
      <c r="W80" s="2"/>
      <c r="X80" s="2"/>
      <c r="Y80" s="2"/>
      <c r="Z80" s="2"/>
    </row>
    <row r="81" spans="1:26">
      <c r="A81" s="2"/>
      <c r="B81" s="2"/>
      <c r="C81" s="2"/>
      <c r="D81" s="2"/>
      <c r="E81" s="2"/>
      <c r="F81" s="2"/>
      <c r="G81" s="2"/>
      <c r="H81" s="2"/>
      <c r="I81" s="2"/>
      <c r="J81" s="2"/>
      <c r="K81" s="2"/>
      <c r="L81" s="2"/>
      <c r="M81" s="2"/>
      <c r="N81" s="2"/>
      <c r="O81" s="2"/>
      <c r="P81" s="2"/>
      <c r="Q81" s="2"/>
      <c r="R81" s="2"/>
      <c r="S81" s="2"/>
      <c r="T81" s="2"/>
      <c r="U81" s="2"/>
      <c r="V81" s="2"/>
      <c r="W81" s="2"/>
      <c r="X81" s="2"/>
      <c r="Y81" s="2"/>
      <c r="Z81" s="2"/>
    </row>
    <row r="82" spans="1:26">
      <c r="A82" s="2"/>
      <c r="B82" s="2"/>
      <c r="C82" s="2"/>
      <c r="D82" s="2"/>
      <c r="E82" s="2"/>
      <c r="F82" s="2"/>
      <c r="G82" s="2"/>
      <c r="H82" s="2"/>
      <c r="I82" s="2"/>
      <c r="J82" s="2"/>
      <c r="K82" s="2"/>
      <c r="L82" s="2"/>
      <c r="M82" s="2"/>
      <c r="N82" s="2"/>
      <c r="O82" s="2"/>
      <c r="P82" s="2"/>
      <c r="Q82" s="2"/>
      <c r="R82" s="2"/>
      <c r="S82" s="2"/>
      <c r="T82" s="2"/>
      <c r="U82" s="2"/>
      <c r="V82" s="2"/>
      <c r="W82" s="2"/>
      <c r="X82" s="2"/>
      <c r="Y82" s="2"/>
      <c r="Z82" s="2"/>
    </row>
    <row r="83" spans="1:26">
      <c r="A83" s="2"/>
      <c r="B83" s="2"/>
      <c r="C83" s="2"/>
      <c r="D83" s="2"/>
      <c r="E83" s="2"/>
      <c r="F83" s="2"/>
      <c r="G83" s="2"/>
      <c r="H83" s="2"/>
      <c r="I83" s="2"/>
      <c r="J83" s="2"/>
      <c r="K83" s="2"/>
      <c r="L83" s="2"/>
      <c r="M83" s="2"/>
      <c r="N83" s="2"/>
      <c r="O83" s="2"/>
      <c r="P83" s="2"/>
      <c r="Q83" s="2"/>
      <c r="R83" s="2"/>
      <c r="S83" s="2"/>
      <c r="T83" s="2"/>
      <c r="U83" s="2"/>
      <c r="V83" s="2"/>
      <c r="W83" s="2"/>
      <c r="X83" s="2"/>
      <c r="Y83" s="2"/>
      <c r="Z83" s="2"/>
    </row>
    <row r="84" spans="1:26">
      <c r="A84" s="2"/>
      <c r="B84" s="2"/>
      <c r="C84" s="2"/>
      <c r="D84" s="2"/>
      <c r="E84" s="2"/>
      <c r="F84" s="2"/>
      <c r="G84" s="2"/>
      <c r="H84" s="2"/>
      <c r="I84" s="2"/>
      <c r="J84" s="2"/>
      <c r="K84" s="2"/>
      <c r="L84" s="2"/>
      <c r="M84" s="2"/>
      <c r="N84" s="2"/>
      <c r="O84" s="2"/>
      <c r="P84" s="2"/>
      <c r="Q84" s="2"/>
      <c r="R84" s="2"/>
      <c r="S84" s="2"/>
      <c r="T84" s="2"/>
      <c r="U84" s="2"/>
      <c r="V84" s="2"/>
      <c r="W84" s="2"/>
      <c r="X84" s="2"/>
      <c r="Y84" s="2"/>
      <c r="Z84" s="2"/>
    </row>
    <row r="85" spans="1:26">
      <c r="A85" s="2"/>
      <c r="B85" s="2"/>
      <c r="C85" s="2"/>
      <c r="D85" s="2"/>
      <c r="E85" s="2"/>
      <c r="F85" s="2"/>
      <c r="G85" s="2"/>
      <c r="H85" s="2"/>
      <c r="I85" s="2"/>
      <c r="J85" s="2"/>
      <c r="K85" s="2"/>
      <c r="L85" s="2"/>
      <c r="M85" s="2"/>
      <c r="N85" s="2"/>
      <c r="O85" s="2"/>
      <c r="P85" s="2"/>
      <c r="Q85" s="2"/>
      <c r="R85" s="2"/>
      <c r="S85" s="2"/>
      <c r="T85" s="2"/>
      <c r="U85" s="2"/>
      <c r="V85" s="2"/>
      <c r="W85" s="2"/>
      <c r="X85" s="2"/>
      <c r="Y85" s="2"/>
      <c r="Z85" s="2"/>
    </row>
    <row r="86" spans="1:26">
      <c r="A86" s="2"/>
      <c r="B86" s="2"/>
      <c r="C86" s="2"/>
      <c r="D86" s="2"/>
      <c r="E86" s="2"/>
      <c r="F86" s="2"/>
      <c r="G86" s="2"/>
      <c r="H86" s="2"/>
      <c r="I86" s="2"/>
      <c r="J86" s="2"/>
      <c r="K86" s="2"/>
      <c r="L86" s="2"/>
      <c r="M86" s="2"/>
      <c r="N86" s="2"/>
      <c r="O86" s="2"/>
      <c r="P86" s="2"/>
      <c r="Q86" s="2"/>
      <c r="R86" s="2"/>
      <c r="S86" s="2"/>
      <c r="T86" s="2"/>
      <c r="U86" s="2"/>
      <c r="V86" s="2"/>
      <c r="W86" s="2"/>
      <c r="X86" s="2"/>
      <c r="Y86" s="2"/>
      <c r="Z86" s="2"/>
    </row>
    <row r="87" spans="1:26">
      <c r="A87" s="2"/>
      <c r="B87" s="2"/>
      <c r="C87" s="2"/>
      <c r="D87" s="2"/>
      <c r="E87" s="2"/>
      <c r="F87" s="2"/>
      <c r="G87" s="2"/>
      <c r="H87" s="2"/>
      <c r="I87" s="2"/>
      <c r="J87" s="2"/>
      <c r="K87" s="2"/>
      <c r="L87" s="2"/>
      <c r="M87" s="2"/>
      <c r="N87" s="2"/>
      <c r="O87" s="2"/>
      <c r="P87" s="2"/>
      <c r="Q87" s="2"/>
      <c r="R87" s="2"/>
      <c r="S87" s="2"/>
      <c r="T87" s="2"/>
      <c r="U87" s="2"/>
      <c r="V87" s="2"/>
      <c r="W87" s="2"/>
      <c r="X87" s="2"/>
      <c r="Y87" s="2"/>
      <c r="Z87" s="2"/>
    </row>
    <row r="88" spans="1:26">
      <c r="A88" s="2"/>
      <c r="B88" s="2"/>
      <c r="C88" s="2"/>
      <c r="D88" s="2"/>
      <c r="E88" s="2"/>
      <c r="F88" s="2"/>
      <c r="G88" s="2"/>
      <c r="H88" s="2"/>
      <c r="I88" s="2"/>
      <c r="J88" s="2"/>
      <c r="K88" s="2"/>
      <c r="L88" s="2"/>
      <c r="M88" s="2"/>
      <c r="N88" s="2"/>
      <c r="O88" s="2"/>
      <c r="P88" s="2"/>
      <c r="Q88" s="2"/>
      <c r="R88" s="2"/>
      <c r="S88" s="2"/>
      <c r="T88" s="2"/>
      <c r="U88" s="2"/>
      <c r="V88" s="2"/>
      <c r="W88" s="2"/>
      <c r="X88" s="2"/>
      <c r="Y88" s="2"/>
      <c r="Z88" s="2"/>
    </row>
    <row r="89" spans="1:26">
      <c r="A89" s="2"/>
      <c r="B89" s="2"/>
      <c r="C89" s="2"/>
      <c r="D89" s="2"/>
      <c r="E89" s="2"/>
      <c r="F89" s="2"/>
      <c r="G89" s="2"/>
      <c r="H89" s="2"/>
      <c r="I89" s="2"/>
      <c r="J89" s="2"/>
      <c r="K89" s="2"/>
      <c r="L89" s="2"/>
      <c r="M89" s="2"/>
      <c r="N89" s="2"/>
      <c r="O89" s="2"/>
      <c r="P89" s="2"/>
      <c r="Q89" s="2"/>
      <c r="R89" s="2"/>
      <c r="S89" s="2"/>
      <c r="T89" s="2"/>
      <c r="U89" s="2"/>
      <c r="V89" s="2"/>
      <c r="W89" s="2"/>
      <c r="X89" s="2"/>
      <c r="Y89" s="2"/>
      <c r="Z89" s="2"/>
    </row>
    <row r="90" spans="1:26">
      <c r="A90" s="2"/>
      <c r="B90" s="2"/>
      <c r="C90" s="2"/>
      <c r="D90" s="2"/>
      <c r="E90" s="2"/>
      <c r="F90" s="2"/>
      <c r="G90" s="2"/>
      <c r="H90" s="2"/>
      <c r="I90" s="2"/>
      <c r="J90" s="2"/>
      <c r="K90" s="2"/>
      <c r="L90" s="2"/>
      <c r="M90" s="2"/>
      <c r="N90" s="2"/>
      <c r="O90" s="2"/>
      <c r="P90" s="2"/>
      <c r="Q90" s="2"/>
      <c r="R90" s="2"/>
      <c r="S90" s="2"/>
      <c r="T90" s="2"/>
      <c r="U90" s="2"/>
      <c r="V90" s="2"/>
      <c r="W90" s="2"/>
      <c r="X90" s="2"/>
      <c r="Y90" s="2"/>
      <c r="Z90" s="2"/>
    </row>
    <row r="91" spans="1:26">
      <c r="A91" s="2"/>
      <c r="B91" s="2"/>
      <c r="C91" s="2"/>
      <c r="D91" s="2"/>
      <c r="E91" s="2"/>
      <c r="F91" s="2"/>
      <c r="G91" s="2"/>
      <c r="H91" s="2"/>
      <c r="I91" s="2"/>
      <c r="J91" s="2"/>
      <c r="K91" s="2"/>
      <c r="L91" s="2"/>
      <c r="M91" s="2"/>
      <c r="N91" s="2"/>
      <c r="O91" s="2"/>
      <c r="P91" s="2"/>
      <c r="Q91" s="2"/>
      <c r="R91" s="2"/>
      <c r="S91" s="2"/>
      <c r="T91" s="2"/>
      <c r="U91" s="2"/>
      <c r="V91" s="2"/>
      <c r="W91" s="2"/>
      <c r="X91" s="2"/>
      <c r="Y91" s="2"/>
      <c r="Z91" s="2"/>
    </row>
    <row r="92" spans="1:26">
      <c r="A92" s="2"/>
      <c r="B92" s="2"/>
      <c r="C92" s="2"/>
      <c r="D92" s="2"/>
      <c r="E92" s="2"/>
      <c r="F92" s="2"/>
      <c r="G92" s="2"/>
      <c r="H92" s="2"/>
      <c r="I92" s="2"/>
      <c r="J92" s="2"/>
      <c r="K92" s="2"/>
      <c r="L92" s="2"/>
      <c r="M92" s="2"/>
      <c r="N92" s="2"/>
      <c r="O92" s="2"/>
      <c r="P92" s="2"/>
      <c r="Q92" s="2"/>
      <c r="R92" s="2"/>
      <c r="S92" s="2"/>
      <c r="T92" s="2"/>
      <c r="U92" s="2"/>
      <c r="V92" s="2"/>
      <c r="W92" s="2"/>
      <c r="X92" s="2"/>
      <c r="Y92" s="2"/>
      <c r="Z92" s="2"/>
    </row>
    <row r="93" spans="1:26">
      <c r="A93" s="2"/>
      <c r="B93" s="2"/>
      <c r="C93" s="2"/>
      <c r="D93" s="2"/>
      <c r="E93" s="2"/>
      <c r="F93" s="2"/>
      <c r="G93" s="2"/>
      <c r="H93" s="2"/>
      <c r="I93" s="2"/>
      <c r="J93" s="2"/>
      <c r="K93" s="2"/>
      <c r="L93" s="2"/>
      <c r="M93" s="2"/>
      <c r="N93" s="2"/>
      <c r="O93" s="2"/>
      <c r="P93" s="2"/>
      <c r="Q93" s="2"/>
      <c r="R93" s="2"/>
      <c r="S93" s="2"/>
      <c r="T93" s="2"/>
      <c r="U93" s="2"/>
      <c r="V93" s="2"/>
      <c r="W93" s="2"/>
      <c r="X93" s="2"/>
      <c r="Y93" s="2"/>
      <c r="Z93" s="2"/>
    </row>
    <row r="94" spans="1:26">
      <c r="A94" s="2"/>
      <c r="B94" s="2"/>
      <c r="C94" s="2"/>
      <c r="D94" s="2"/>
      <c r="E94" s="2"/>
      <c r="F94" s="2"/>
      <c r="G94" s="2"/>
      <c r="H94" s="2"/>
      <c r="I94" s="2"/>
      <c r="J94" s="2"/>
      <c r="K94" s="2"/>
      <c r="L94" s="2"/>
      <c r="M94" s="2"/>
      <c r="N94" s="2"/>
      <c r="O94" s="2"/>
      <c r="P94" s="2"/>
      <c r="Q94" s="2"/>
      <c r="R94" s="2"/>
      <c r="S94" s="2"/>
      <c r="T94" s="2"/>
      <c r="U94" s="2"/>
      <c r="V94" s="2"/>
      <c r="W94" s="2"/>
      <c r="X94" s="2"/>
      <c r="Y94" s="2"/>
      <c r="Z94" s="2"/>
    </row>
    <row r="95" spans="1:26">
      <c r="A95" s="2"/>
      <c r="B95" s="2"/>
      <c r="C95" s="2"/>
      <c r="D95" s="2"/>
      <c r="E95" s="2"/>
      <c r="F95" s="2"/>
      <c r="G95" s="2"/>
      <c r="H95" s="2"/>
      <c r="I95" s="2"/>
      <c r="J95" s="2"/>
      <c r="K95" s="2"/>
      <c r="L95" s="2"/>
      <c r="M95" s="2"/>
      <c r="N95" s="2"/>
      <c r="O95" s="2"/>
      <c r="P95" s="2"/>
      <c r="Q95" s="2"/>
      <c r="R95" s="2"/>
      <c r="S95" s="2"/>
      <c r="T95" s="2"/>
      <c r="U95" s="2"/>
      <c r="V95" s="2"/>
      <c r="W95" s="2"/>
      <c r="X95" s="2"/>
      <c r="Y95" s="2"/>
      <c r="Z95" s="2"/>
    </row>
    <row r="96" spans="1:26">
      <c r="A96" s="2"/>
      <c r="B96" s="2"/>
      <c r="C96" s="2"/>
      <c r="D96" s="2"/>
      <c r="E96" s="2"/>
      <c r="F96" s="2"/>
      <c r="G96" s="2"/>
      <c r="H96" s="2"/>
      <c r="I96" s="2"/>
      <c r="J96" s="2"/>
      <c r="K96" s="2"/>
      <c r="L96" s="2"/>
      <c r="M96" s="2"/>
      <c r="N96" s="2"/>
      <c r="O96" s="2"/>
      <c r="P96" s="2"/>
      <c r="Q96" s="2"/>
      <c r="R96" s="2"/>
      <c r="S96" s="2"/>
      <c r="T96" s="2"/>
      <c r="U96" s="2"/>
      <c r="V96" s="2"/>
      <c r="W96" s="2"/>
      <c r="X96" s="2"/>
      <c r="Y96" s="2"/>
      <c r="Z96" s="2"/>
    </row>
    <row r="97" spans="1:26">
      <c r="A97" s="2"/>
      <c r="B97" s="2"/>
      <c r="C97" s="2"/>
      <c r="D97" s="2"/>
      <c r="E97" s="2"/>
      <c r="F97" s="2"/>
      <c r="G97" s="2"/>
      <c r="H97" s="2"/>
      <c r="I97" s="2"/>
      <c r="J97" s="2"/>
      <c r="K97" s="2"/>
      <c r="L97" s="2"/>
      <c r="M97" s="2"/>
      <c r="N97" s="2"/>
      <c r="O97" s="2"/>
      <c r="P97" s="2"/>
      <c r="Q97" s="2"/>
      <c r="R97" s="2"/>
      <c r="S97" s="2"/>
      <c r="T97" s="2"/>
      <c r="U97" s="2"/>
      <c r="V97" s="2"/>
      <c r="W97" s="2"/>
      <c r="X97" s="2"/>
      <c r="Y97" s="2"/>
      <c r="Z97" s="2"/>
    </row>
    <row r="98" spans="1:26">
      <c r="A98" s="2"/>
      <c r="B98" s="2"/>
      <c r="C98" s="2"/>
      <c r="D98" s="2"/>
      <c r="E98" s="2"/>
      <c r="F98" s="2"/>
      <c r="G98" s="2"/>
      <c r="H98" s="2"/>
      <c r="I98" s="2"/>
      <c r="J98" s="2"/>
      <c r="K98" s="2"/>
      <c r="L98" s="2"/>
      <c r="M98" s="2"/>
      <c r="N98" s="2"/>
      <c r="O98" s="2"/>
      <c r="P98" s="2"/>
      <c r="Q98" s="2"/>
      <c r="R98" s="2"/>
      <c r="S98" s="2"/>
      <c r="T98" s="2"/>
      <c r="U98" s="2"/>
      <c r="V98" s="2"/>
      <c r="W98" s="2"/>
      <c r="X98" s="2"/>
      <c r="Y98" s="2"/>
      <c r="Z98" s="2"/>
    </row>
    <row r="99" spans="1:26">
      <c r="A99" s="2"/>
      <c r="B99" s="2"/>
      <c r="C99" s="2"/>
      <c r="D99" s="2"/>
      <c r="E99" s="2"/>
      <c r="F99" s="2"/>
      <c r="G99" s="2"/>
      <c r="H99" s="2"/>
      <c r="I99" s="2"/>
      <c r="J99" s="2"/>
      <c r="K99" s="2"/>
      <c r="L99" s="2"/>
      <c r="M99" s="2"/>
      <c r="N99" s="2"/>
      <c r="O99" s="2"/>
      <c r="P99" s="2"/>
      <c r="Q99" s="2"/>
      <c r="R99" s="2"/>
      <c r="S99" s="2"/>
      <c r="T99" s="2"/>
      <c r="U99" s="2"/>
      <c r="V99" s="2"/>
      <c r="W99" s="2"/>
      <c r="X99" s="2"/>
      <c r="Y99" s="2"/>
      <c r="Z99" s="2"/>
    </row>
    <row r="100" spans="1:26">
      <c r="A100" s="2"/>
      <c r="B100" s="2"/>
      <c r="C100" s="2"/>
      <c r="D100" s="2"/>
      <c r="E100" s="2"/>
      <c r="F100" s="2"/>
      <c r="G100" s="2"/>
      <c r="H100" s="2"/>
      <c r="I100" s="2"/>
      <c r="J100" s="2"/>
      <c r="K100" s="2"/>
      <c r="L100" s="2"/>
      <c r="M100" s="2"/>
      <c r="N100" s="2"/>
      <c r="O100" s="2"/>
      <c r="P100" s="2"/>
      <c r="Q100" s="2"/>
      <c r="R100" s="2"/>
      <c r="S100" s="2"/>
      <c r="T100" s="2"/>
      <c r="U100" s="2"/>
      <c r="V100" s="2"/>
      <c r="W100" s="2"/>
      <c r="X100" s="2"/>
      <c r="Y100" s="2"/>
      <c r="Z100" s="2"/>
    </row>
  </sheetData>
  <mergeCells count="8">
    <mergeCell ref="A4:H4"/>
    <mergeCell ref="A9:H9"/>
    <mergeCell ref="A17:H17"/>
    <mergeCell ref="A22:H22"/>
    <mergeCell ref="A30:H30"/>
    <mergeCell ref="A1:H2"/>
    <mergeCell ref="A18:H20"/>
    <mergeCell ref="A31:H34"/>
  </mergeCells>
  <pageMargins left="0.7" right="0.7" top="0.75" bottom="0.75" header="0.3" footer="0.3"/>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Z100"/>
  <sheetViews>
    <sheetView workbookViewId="0">
      <selection activeCell="A1" sqref="A1:J2"/>
    </sheetView>
  </sheetViews>
  <sheetFormatPr defaultColWidth="9" defaultRowHeight="14.25"/>
  <cols>
    <col min="1" max="1" width="22" customWidth="1"/>
    <col min="2" max="3" width="14" customWidth="1"/>
    <col min="4" max="4" width="18" customWidth="1"/>
    <col min="5" max="5" width="25" customWidth="1"/>
    <col min="6" max="6" width="18" customWidth="1"/>
    <col min="7" max="8" width="16" customWidth="1"/>
    <col min="9" max="10" width="14" customWidth="1"/>
  </cols>
  <sheetData>
    <row r="1" spans="1:26">
      <c r="A1" s="1" t="s">
        <v>68</v>
      </c>
      <c r="B1" s="1"/>
      <c r="C1" s="1"/>
      <c r="D1" s="1"/>
      <c r="E1" s="1"/>
      <c r="F1" s="1"/>
      <c r="G1" s="1"/>
      <c r="H1" s="1"/>
      <c r="I1" s="1"/>
      <c r="J1" s="1"/>
      <c r="K1" s="2"/>
      <c r="L1" s="2"/>
      <c r="M1" s="2"/>
      <c r="N1" s="2"/>
      <c r="O1" s="2"/>
      <c r="P1" s="2"/>
      <c r="Q1" s="2"/>
      <c r="R1" s="2"/>
      <c r="S1" s="2"/>
      <c r="T1" s="2"/>
      <c r="U1" s="2"/>
      <c r="V1" s="2"/>
      <c r="W1" s="2"/>
      <c r="X1" s="2"/>
      <c r="Y1" s="2"/>
      <c r="Z1" s="2"/>
    </row>
    <row r="2" spans="1:26">
      <c r="A2" s="1"/>
      <c r="B2" s="1"/>
      <c r="C2" s="1"/>
      <c r="D2" s="1"/>
      <c r="E2" s="1"/>
      <c r="F2" s="1"/>
      <c r="G2" s="1"/>
      <c r="H2" s="1"/>
      <c r="I2" s="1"/>
      <c r="J2" s="1"/>
      <c r="K2" s="2"/>
      <c r="L2" s="2"/>
      <c r="M2" s="2"/>
      <c r="N2" s="2"/>
      <c r="O2" s="2"/>
      <c r="P2" s="2"/>
      <c r="Q2" s="2"/>
      <c r="R2" s="2"/>
      <c r="S2" s="2"/>
      <c r="T2" s="2"/>
      <c r="U2" s="2"/>
      <c r="V2" s="2"/>
      <c r="W2" s="2"/>
      <c r="X2" s="2"/>
      <c r="Y2" s="2"/>
      <c r="Z2" s="2"/>
    </row>
    <row r="3" spans="1:26">
      <c r="A3" s="2"/>
      <c r="B3" s="2"/>
      <c r="C3" s="2"/>
      <c r="D3" s="2"/>
      <c r="E3" s="2"/>
      <c r="F3" s="2"/>
      <c r="G3" s="2"/>
      <c r="H3" s="2"/>
      <c r="I3" s="2"/>
      <c r="J3" s="2"/>
      <c r="K3" s="2"/>
      <c r="L3" s="2"/>
      <c r="M3" s="2"/>
      <c r="N3" s="2"/>
      <c r="O3" s="2"/>
      <c r="P3" s="2"/>
      <c r="Q3" s="2"/>
      <c r="R3" s="2"/>
      <c r="S3" s="2"/>
      <c r="T3" s="2"/>
      <c r="U3" s="2"/>
      <c r="V3" s="2"/>
      <c r="W3" s="2"/>
      <c r="X3" s="2"/>
      <c r="Y3" s="2"/>
      <c r="Z3" s="2"/>
    </row>
    <row r="4" ht="15" spans="1:26">
      <c r="A4" s="12" t="s">
        <v>4</v>
      </c>
      <c r="B4" s="12"/>
      <c r="C4" s="12" t="s">
        <v>6</v>
      </c>
      <c r="D4" s="12"/>
      <c r="E4" s="12" t="s">
        <v>69</v>
      </c>
      <c r="F4" s="12"/>
      <c r="G4" s="12" t="s">
        <v>70</v>
      </c>
      <c r="H4" s="12"/>
      <c r="I4" s="12" t="s">
        <v>71</v>
      </c>
      <c r="J4" s="12"/>
      <c r="K4" s="2"/>
      <c r="L4" s="2"/>
      <c r="M4" s="2"/>
      <c r="N4" s="2"/>
      <c r="O4" s="2"/>
      <c r="P4" s="2"/>
      <c r="Q4" s="2"/>
      <c r="R4" s="2"/>
      <c r="S4" s="2"/>
      <c r="T4" s="2"/>
      <c r="U4" s="2"/>
      <c r="V4" s="2"/>
      <c r="W4" s="2"/>
      <c r="X4" s="2"/>
      <c r="Y4" s="2"/>
      <c r="Z4" s="2"/>
    </row>
    <row r="5" spans="1:26">
      <c r="A5" s="13" t="s">
        <v>5</v>
      </c>
      <c r="B5" s="13"/>
      <c r="C5" s="13" t="s">
        <v>7</v>
      </c>
      <c r="D5" s="13"/>
      <c r="E5" s="14">
        <f>AVERAGE(M1_TASKS!J2:J100)</f>
        <v>0.053333333333333</v>
      </c>
      <c r="F5" s="14"/>
      <c r="G5" s="13" t="str">
        <f>COUNTIF(M1_TASKS!I2:I100,"Done")&amp;" / "&amp;COUNTA(M1_TASKS!A2:A100)</f>
        <v>0 / 30</v>
      </c>
      <c r="H5" s="13"/>
      <c r="I5" s="13">
        <f>COUNTIF(M1_TASKS!I2:I100,"Blocked")</f>
        <v>0</v>
      </c>
      <c r="J5" s="13"/>
      <c r="K5" s="2"/>
      <c r="L5" s="2"/>
      <c r="M5" s="2"/>
      <c r="N5" s="2"/>
      <c r="O5" s="2"/>
      <c r="P5" s="2"/>
      <c r="Q5" s="2"/>
      <c r="R5" s="2"/>
      <c r="S5" s="2"/>
      <c r="T5" s="2"/>
      <c r="U5" s="2"/>
      <c r="V5" s="2"/>
      <c r="W5" s="2"/>
      <c r="X5" s="2"/>
      <c r="Y5" s="2"/>
      <c r="Z5" s="2"/>
    </row>
    <row r="6" spans="1:26">
      <c r="A6" s="13"/>
      <c r="B6" s="13"/>
      <c r="C6" s="13"/>
      <c r="D6" s="13"/>
      <c r="E6" s="14"/>
      <c r="F6" s="14"/>
      <c r="G6" s="13"/>
      <c r="H6" s="13"/>
      <c r="I6" s="13"/>
      <c r="J6" s="13"/>
      <c r="K6" s="2"/>
      <c r="L6" s="2"/>
      <c r="M6" s="2"/>
      <c r="N6" s="2"/>
      <c r="O6" s="2"/>
      <c r="P6" s="2"/>
      <c r="Q6" s="2"/>
      <c r="R6" s="2"/>
      <c r="S6" s="2"/>
      <c r="T6" s="2"/>
      <c r="U6" s="2"/>
      <c r="V6" s="2"/>
      <c r="W6" s="2"/>
      <c r="X6" s="2"/>
      <c r="Y6" s="2"/>
      <c r="Z6" s="2"/>
    </row>
    <row r="7" spans="1:26">
      <c r="A7" s="2"/>
      <c r="B7" s="2"/>
      <c r="C7" s="2"/>
      <c r="D7" s="2"/>
      <c r="E7" s="2"/>
      <c r="F7" s="2"/>
      <c r="G7" s="2"/>
      <c r="H7" s="2"/>
      <c r="I7" s="2"/>
      <c r="J7" s="2"/>
      <c r="K7" s="2"/>
      <c r="L7" s="2"/>
      <c r="M7" s="2"/>
      <c r="N7" s="2"/>
      <c r="O7" s="2"/>
      <c r="P7" s="2"/>
      <c r="Q7" s="2"/>
      <c r="R7" s="2"/>
      <c r="S7" s="2"/>
      <c r="T7" s="2"/>
      <c r="U7" s="2"/>
      <c r="V7" s="2"/>
      <c r="W7" s="2"/>
      <c r="X7" s="2"/>
      <c r="Y7" s="2"/>
      <c r="Z7" s="2"/>
    </row>
    <row r="8" ht="15" spans="1:26">
      <c r="A8" s="5" t="s">
        <v>72</v>
      </c>
      <c r="B8" s="5"/>
      <c r="C8" s="5"/>
      <c r="D8" s="5"/>
      <c r="E8" s="5"/>
      <c r="F8" s="5" t="s">
        <v>73</v>
      </c>
      <c r="G8" s="5"/>
      <c r="H8" s="5"/>
      <c r="I8" s="5"/>
      <c r="J8" s="5"/>
      <c r="K8" s="2"/>
      <c r="L8" s="2"/>
      <c r="M8" s="2"/>
      <c r="N8" s="2"/>
      <c r="O8" s="2"/>
      <c r="P8" s="2"/>
      <c r="Q8" s="2"/>
      <c r="R8" s="2"/>
      <c r="S8" s="2"/>
      <c r="T8" s="2"/>
      <c r="U8" s="2"/>
      <c r="V8" s="2"/>
      <c r="W8" s="2"/>
      <c r="X8" s="2"/>
      <c r="Y8" s="2"/>
      <c r="Z8" s="2"/>
    </row>
    <row r="9" ht="15" spans="1:26">
      <c r="A9" s="3" t="s">
        <v>74</v>
      </c>
      <c r="B9" s="3" t="s">
        <v>75</v>
      </c>
      <c r="C9" s="3" t="s">
        <v>76</v>
      </c>
      <c r="D9" s="3" t="s">
        <v>77</v>
      </c>
      <c r="E9" s="2"/>
      <c r="F9" s="6" t="s">
        <v>78</v>
      </c>
      <c r="G9" s="6"/>
      <c r="H9" s="6"/>
      <c r="I9" s="6"/>
      <c r="J9" s="6"/>
      <c r="K9" s="2"/>
      <c r="L9" s="2"/>
      <c r="M9" s="2"/>
      <c r="N9" s="2"/>
      <c r="O9" s="2"/>
      <c r="P9" s="2"/>
      <c r="Q9" s="2"/>
      <c r="R9" s="2"/>
      <c r="S9" s="2"/>
      <c r="T9" s="2"/>
      <c r="U9" s="2"/>
      <c r="V9" s="2"/>
      <c r="W9" s="2"/>
      <c r="X9" s="2"/>
      <c r="Y9" s="2"/>
      <c r="Z9" s="2"/>
    </row>
    <row r="10" spans="1:26">
      <c r="A10" s="2" t="s">
        <v>79</v>
      </c>
      <c r="B10" s="2">
        <f>COUNTIF(M1_TASKS!B:B,A10)</f>
        <v>6</v>
      </c>
      <c r="C10" s="2">
        <f>COUNTIFS(M1_TASKS!B:B,A10,M1_TASKS!I:I,"Done")</f>
        <v>0</v>
      </c>
      <c r="D10" s="15">
        <f>IF(B10=0,0,SUMIF(M1_TASKS!B:B,A10,M1_TASKS!J:J)/B10)</f>
        <v>0.266666666666667</v>
      </c>
      <c r="E10" s="2"/>
      <c r="F10" s="6"/>
      <c r="G10" s="6"/>
      <c r="H10" s="6"/>
      <c r="I10" s="6"/>
      <c r="J10" s="6"/>
      <c r="K10" s="2"/>
      <c r="L10" s="2"/>
      <c r="M10" s="2"/>
      <c r="N10" s="2"/>
      <c r="O10" s="2"/>
      <c r="P10" s="2"/>
      <c r="Q10" s="2"/>
      <c r="R10" s="2"/>
      <c r="S10" s="2"/>
      <c r="T10" s="2"/>
      <c r="U10" s="2"/>
      <c r="V10" s="2"/>
      <c r="W10" s="2"/>
      <c r="X10" s="2"/>
      <c r="Y10" s="2"/>
      <c r="Z10" s="2"/>
    </row>
    <row r="11" spans="1:26">
      <c r="A11" s="2" t="s">
        <v>80</v>
      </c>
      <c r="B11" s="2">
        <f>COUNTIF(M1_TASKS!B:B,A11)</f>
        <v>7</v>
      </c>
      <c r="C11" s="2">
        <f>COUNTIFS(M1_TASKS!B:B,A11,M1_TASKS!I:I,"Done")</f>
        <v>0</v>
      </c>
      <c r="D11" s="15">
        <f>IF(B11=0,0,SUMIF(M1_TASKS!B:B,A11,M1_TASKS!J:J)/B11)</f>
        <v>0</v>
      </c>
      <c r="E11" s="2"/>
      <c r="F11" s="6"/>
      <c r="G11" s="6"/>
      <c r="H11" s="6"/>
      <c r="I11" s="6"/>
      <c r="J11" s="6"/>
      <c r="K11" s="2"/>
      <c r="L11" s="2"/>
      <c r="M11" s="2"/>
      <c r="N11" s="2"/>
      <c r="O11" s="2"/>
      <c r="P11" s="2"/>
      <c r="Q11" s="2"/>
      <c r="R11" s="2"/>
      <c r="S11" s="2"/>
      <c r="T11" s="2"/>
      <c r="U11" s="2"/>
      <c r="V11" s="2"/>
      <c r="W11" s="2"/>
      <c r="X11" s="2"/>
      <c r="Y11" s="2"/>
      <c r="Z11" s="2"/>
    </row>
    <row r="12" spans="1:26">
      <c r="A12" s="2" t="s">
        <v>81</v>
      </c>
      <c r="B12" s="2">
        <f>COUNTIF(M1_TASKS!B:B,A12)</f>
        <v>6</v>
      </c>
      <c r="C12" s="2">
        <f>COUNTIFS(M1_TASKS!B:B,A12,M1_TASKS!I:I,"Done")</f>
        <v>0</v>
      </c>
      <c r="D12" s="15">
        <f>IF(B12=0,0,SUMIF(M1_TASKS!B:B,A12,M1_TASKS!J:J)/B12)</f>
        <v>0</v>
      </c>
      <c r="E12" s="2"/>
      <c r="F12" s="6"/>
      <c r="G12" s="6"/>
      <c r="H12" s="6"/>
      <c r="I12" s="6"/>
      <c r="J12" s="6"/>
      <c r="K12" s="2"/>
      <c r="L12" s="2"/>
      <c r="M12" s="2"/>
      <c r="N12" s="2"/>
      <c r="O12" s="2"/>
      <c r="P12" s="2"/>
      <c r="Q12" s="2"/>
      <c r="R12" s="2"/>
      <c r="S12" s="2"/>
      <c r="T12" s="2"/>
      <c r="U12" s="2"/>
      <c r="V12" s="2"/>
      <c r="W12" s="2"/>
      <c r="X12" s="2"/>
      <c r="Y12" s="2"/>
      <c r="Z12" s="2"/>
    </row>
    <row r="13" spans="1:26">
      <c r="A13" s="2" t="s">
        <v>82</v>
      </c>
      <c r="B13" s="2">
        <f>COUNTIF(M1_TASKS!B:B,A13)</f>
        <v>5</v>
      </c>
      <c r="C13" s="2">
        <f>COUNTIFS(M1_TASKS!B:B,A13,M1_TASKS!I:I,"Done")</f>
        <v>0</v>
      </c>
      <c r="D13" s="15">
        <f>IF(B13=0,0,SUMIF(M1_TASKS!B:B,A13,M1_TASKS!J:J)/B13)</f>
        <v>0</v>
      </c>
      <c r="E13" s="2"/>
      <c r="F13" s="6"/>
      <c r="G13" s="6"/>
      <c r="H13" s="6"/>
      <c r="I13" s="6"/>
      <c r="J13" s="6"/>
      <c r="K13" s="2"/>
      <c r="L13" s="2"/>
      <c r="M13" s="2"/>
      <c r="N13" s="2"/>
      <c r="O13" s="2"/>
      <c r="P13" s="2"/>
      <c r="Q13" s="2"/>
      <c r="R13" s="2"/>
      <c r="S13" s="2"/>
      <c r="T13" s="2"/>
      <c r="U13" s="2"/>
      <c r="V13" s="2"/>
      <c r="W13" s="2"/>
      <c r="X13" s="2"/>
      <c r="Y13" s="2"/>
      <c r="Z13" s="2"/>
    </row>
    <row r="14" spans="1:26">
      <c r="A14" s="2" t="s">
        <v>83</v>
      </c>
      <c r="B14" s="2">
        <f>COUNTIF(M1_TASKS!B:B,A14)</f>
        <v>5</v>
      </c>
      <c r="C14" s="2">
        <f>COUNTIFS(M1_TASKS!B:B,A14,M1_TASKS!I:I,"Done")</f>
        <v>0</v>
      </c>
      <c r="D14" s="15">
        <f>IF(B14=0,0,SUMIF(M1_TASKS!B:B,A14,M1_TASKS!J:J)/B14)</f>
        <v>0</v>
      </c>
      <c r="E14" s="2"/>
      <c r="F14" s="6"/>
      <c r="G14" s="6"/>
      <c r="H14" s="6"/>
      <c r="I14" s="6"/>
      <c r="J14" s="6"/>
      <c r="K14" s="2"/>
      <c r="L14" s="2"/>
      <c r="M14" s="2"/>
      <c r="N14" s="2"/>
      <c r="O14" s="2"/>
      <c r="P14" s="2"/>
      <c r="Q14" s="2"/>
      <c r="R14" s="2"/>
      <c r="S14" s="2"/>
      <c r="T14" s="2"/>
      <c r="U14" s="2"/>
      <c r="V14" s="2"/>
      <c r="W14" s="2"/>
      <c r="X14" s="2"/>
      <c r="Y14" s="2"/>
      <c r="Z14" s="2"/>
    </row>
    <row r="15" spans="1:26">
      <c r="A15" s="2" t="s">
        <v>84</v>
      </c>
      <c r="B15" s="2">
        <f>COUNTIF(M1_TASKS!B:B,A15)</f>
        <v>1</v>
      </c>
      <c r="C15" s="2">
        <f>COUNTIFS(M1_TASKS!B:B,A15,M1_TASKS!I:I,"Done")</f>
        <v>0</v>
      </c>
      <c r="D15" s="15">
        <f>IF(B15=0,0,SUMIF(M1_TASKS!B:B,A15,M1_TASKS!J:J)/B15)</f>
        <v>0</v>
      </c>
      <c r="E15" s="2"/>
      <c r="F15" s="6"/>
      <c r="G15" s="6"/>
      <c r="H15" s="6"/>
      <c r="I15" s="6"/>
      <c r="J15" s="6"/>
      <c r="K15" s="2"/>
      <c r="L15" s="2"/>
      <c r="M15" s="2"/>
      <c r="N15" s="2"/>
      <c r="O15" s="2"/>
      <c r="P15" s="2"/>
      <c r="Q15" s="2"/>
      <c r="R15" s="2"/>
      <c r="S15" s="2"/>
      <c r="T15" s="2"/>
      <c r="U15" s="2"/>
      <c r="V15" s="2"/>
      <c r="W15" s="2"/>
      <c r="X15" s="2"/>
      <c r="Y15" s="2"/>
      <c r="Z15" s="2"/>
    </row>
    <row r="16" spans="1:26">
      <c r="A16" s="2"/>
      <c r="B16" s="2"/>
      <c r="C16" s="2"/>
      <c r="D16" s="2"/>
      <c r="E16" s="2"/>
      <c r="F16" s="2"/>
      <c r="G16" s="2"/>
      <c r="H16" s="2"/>
      <c r="I16" s="2"/>
      <c r="J16" s="2"/>
      <c r="K16" s="2"/>
      <c r="L16" s="2"/>
      <c r="M16" s="2"/>
      <c r="N16" s="2"/>
      <c r="O16" s="2"/>
      <c r="P16" s="2"/>
      <c r="Q16" s="2"/>
      <c r="R16" s="2"/>
      <c r="S16" s="2"/>
      <c r="T16" s="2"/>
      <c r="U16" s="2"/>
      <c r="V16" s="2"/>
      <c r="W16" s="2"/>
      <c r="X16" s="2"/>
      <c r="Y16" s="2"/>
      <c r="Z16" s="2"/>
    </row>
    <row r="17" ht="15" spans="1:26">
      <c r="A17" s="5" t="s">
        <v>85</v>
      </c>
      <c r="B17" s="5"/>
      <c r="C17" s="5"/>
      <c r="D17" s="5"/>
      <c r="E17" s="5"/>
      <c r="F17" s="5"/>
      <c r="G17" s="5"/>
      <c r="H17" s="5"/>
      <c r="I17" s="5"/>
      <c r="J17" s="5"/>
      <c r="K17" s="2"/>
      <c r="L17" s="2"/>
      <c r="M17" s="2"/>
      <c r="N17" s="2"/>
      <c r="O17" s="2"/>
      <c r="P17" s="2"/>
      <c r="Q17" s="2"/>
      <c r="R17" s="2"/>
      <c r="S17" s="2"/>
      <c r="T17" s="2"/>
      <c r="U17" s="2"/>
      <c r="V17" s="2"/>
      <c r="W17" s="2"/>
      <c r="X17" s="2"/>
      <c r="Y17" s="2"/>
      <c r="Z17" s="2"/>
    </row>
    <row r="18" ht="30" spans="1:26">
      <c r="A18" s="3" t="s">
        <v>86</v>
      </c>
      <c r="B18" s="3" t="s">
        <v>87</v>
      </c>
      <c r="C18" s="3" t="s">
        <v>77</v>
      </c>
      <c r="D18" s="3" t="s">
        <v>88</v>
      </c>
      <c r="E18" s="3" t="s">
        <v>89</v>
      </c>
      <c r="F18" s="2"/>
      <c r="G18" s="2"/>
      <c r="H18" s="2"/>
      <c r="I18" s="2"/>
      <c r="J18" s="2"/>
      <c r="K18" s="2"/>
      <c r="L18" s="2"/>
      <c r="M18" s="2"/>
      <c r="N18" s="2"/>
      <c r="O18" s="2"/>
      <c r="P18" s="2"/>
      <c r="Q18" s="2"/>
      <c r="R18" s="2"/>
      <c r="S18" s="2"/>
      <c r="T18" s="2"/>
      <c r="U18" s="2"/>
      <c r="V18" s="2"/>
      <c r="W18" s="2"/>
      <c r="X18" s="2"/>
      <c r="Y18" s="2"/>
      <c r="Z18" s="2"/>
    </row>
    <row r="19" ht="85.5" spans="1:26">
      <c r="A19" s="4" t="str">
        <f>ROADMAP!A5</f>
        <v>Phase 0 — Chốt nền tảng &amp; contract</v>
      </c>
      <c r="B19" s="4" t="str">
        <f>ROADMAP!E5</f>
        <v>In Progress</v>
      </c>
      <c r="C19" s="7">
        <f>ROADMAP!F5</f>
        <v>0.266666666666667</v>
      </c>
      <c r="D19" s="4" t="str">
        <f>ROADMAP!D5</f>
        <v>Cả 4 người thống nhất thuật ngữ, API/DTO, phân công và ranh giới module; FE làm được bằng mock</v>
      </c>
      <c r="E19" s="4" t="str">
        <f>ROADMAP!G5</f>
        <v>M1 — Luồng thi cơ bản chạy thông</v>
      </c>
      <c r="F19" s="2"/>
      <c r="G19" s="2"/>
      <c r="H19" s="2"/>
      <c r="I19" s="2"/>
      <c r="J19" s="2"/>
      <c r="K19" s="2"/>
      <c r="L19" s="2"/>
      <c r="M19" s="2"/>
      <c r="N19" s="2"/>
      <c r="O19" s="2"/>
      <c r="P19" s="2"/>
      <c r="Q19" s="2"/>
      <c r="R19" s="2"/>
      <c r="S19" s="2"/>
      <c r="T19" s="2"/>
      <c r="U19" s="2"/>
      <c r="V19" s="2"/>
      <c r="W19" s="2"/>
      <c r="X19" s="2"/>
      <c r="Y19" s="2"/>
      <c r="Z19" s="2"/>
    </row>
    <row r="20" ht="142.5" spans="1:26">
      <c r="A20" s="4" t="str">
        <f>ROADMAP!A6</f>
        <v>M1 — Luồng thi cơ bản chạy thông</v>
      </c>
      <c r="B20" s="4" t="str">
        <f>ROADMAP!E6</f>
        <v>Not Started</v>
      </c>
      <c r="C20" s="7">
        <f>ROADMAP!F6</f>
        <v>0.053333333333333</v>
      </c>
      <c r="D20" s="4" t="str">
        <f>ROADMAP!D6</f>
        <v>Sinh viên đăng nhập → mở trang thi → tạo lượt thi → nhận câu hỏi mock → timer chạy → gõ câu trả lời → backend lưu → mock AI trả điểm + nhận xét → giao diện hiện kết quả (điểm mock chỉ để kiểm tra luồng)</v>
      </c>
      <c r="E20" s="4" t="str">
        <f>ROADMAP!G6</f>
        <v>M2, M3, M4 (chạy song song)</v>
      </c>
      <c r="F20" s="2"/>
      <c r="G20" s="2"/>
      <c r="H20" s="2"/>
      <c r="I20" s="2"/>
      <c r="J20" s="2"/>
      <c r="K20" s="2"/>
      <c r="L20" s="2"/>
      <c r="M20" s="2"/>
      <c r="N20" s="2"/>
      <c r="O20" s="2"/>
      <c r="P20" s="2"/>
      <c r="Q20" s="2"/>
      <c r="R20" s="2"/>
      <c r="S20" s="2"/>
      <c r="T20" s="2"/>
      <c r="U20" s="2"/>
      <c r="V20" s="2"/>
      <c r="W20" s="2"/>
      <c r="X20" s="2"/>
      <c r="Y20" s="2"/>
      <c r="Z20" s="2"/>
    </row>
    <row r="21" ht="99.75" spans="1:26">
      <c r="A21" s="4" t="str">
        <f>ROADMAP!A7</f>
        <v>M2 — Phỏng vấn AI thích ứng &amp; duyệt điểm</v>
      </c>
      <c r="B21" s="4" t="str">
        <f>ROADMAP!E7</f>
        <v>Not Started</v>
      </c>
      <c r="C21" s="7">
        <f>ROADMAP!F7</f>
        <v>0</v>
      </c>
      <c r="D21" s="4" t="str">
        <f>ROADMAP!D7</f>
        <v>Sinh viên trả lời bằng giọng nói, hệ thống ra transcript, AI hỏi xoáy khi cần, điểm gợi ý theo rubric được lưu ở trạng thái chờ duyệt; giảng viên xem lại và chốt được điểm</v>
      </c>
      <c r="E21" s="4" t="str">
        <f>ROADMAP!G7</f>
        <v>M5 — Ghép nối &amp; làm chắc</v>
      </c>
      <c r="F21" s="2"/>
      <c r="G21" s="2"/>
      <c r="H21" s="2"/>
      <c r="I21" s="2"/>
      <c r="J21" s="2"/>
      <c r="K21" s="2"/>
      <c r="L21" s="2"/>
      <c r="M21" s="2"/>
      <c r="N21" s="2"/>
      <c r="O21" s="2"/>
      <c r="P21" s="2"/>
      <c r="Q21" s="2"/>
      <c r="R21" s="2"/>
      <c r="S21" s="2"/>
      <c r="T21" s="2"/>
      <c r="U21" s="2"/>
      <c r="V21" s="2"/>
      <c r="W21" s="2"/>
      <c r="X21" s="2"/>
      <c r="Y21" s="2"/>
      <c r="Z21" s="2"/>
    </row>
    <row r="22" ht="71.25" spans="1:26">
      <c r="A22" s="4" t="str">
        <f>ROADMAP!A8</f>
        <v>M3 — Báo cáo &amp; thống kê</v>
      </c>
      <c r="B22" s="4" t="str">
        <f>ROADMAP!E8</f>
        <v>Not Started</v>
      </c>
      <c r="C22" s="7">
        <f>ROADMAP!F8</f>
        <v>0</v>
      </c>
      <c r="D22" s="4" t="str">
        <f>ROADMAP!D8</f>
        <v>Báo cáo lấy từ điểm đã lưu, không gọi lại AI; sinh viên chỉ thấy điểm sau khi giảng viên chốt, trước đó chỉ thấy thông báo đang chờ duyệt</v>
      </c>
      <c r="E22" s="4" t="str">
        <f>ROADMAP!G8</f>
        <v>M5 — Ghép nối &amp; làm chắc</v>
      </c>
      <c r="F22" s="2"/>
      <c r="G22" s="2"/>
      <c r="H22" s="2"/>
      <c r="I22" s="2"/>
      <c r="J22" s="2"/>
      <c r="K22" s="2"/>
      <c r="L22" s="2"/>
      <c r="M22" s="2"/>
      <c r="N22" s="2"/>
      <c r="O22" s="2"/>
      <c r="P22" s="2"/>
      <c r="Q22" s="2"/>
      <c r="R22" s="2"/>
      <c r="S22" s="2"/>
      <c r="T22" s="2"/>
      <c r="U22" s="2"/>
      <c r="V22" s="2"/>
      <c r="W22" s="2"/>
      <c r="X22" s="2"/>
      <c r="Y22" s="2"/>
      <c r="Z22" s="2"/>
    </row>
    <row r="23" ht="99.75" spans="1:26">
      <c r="A23" s="4" t="str">
        <f>ROADMAP!A9</f>
        <v>M4 — Quản lý truy cập &amp; cấu hình phiên thi</v>
      </c>
      <c r="B23" s="4" t="str">
        <f>ROADMAP!E9</f>
        <v>Not Started</v>
      </c>
      <c r="C23" s="7">
        <f>ROADMAP!F9</f>
        <v>0</v>
      </c>
      <c r="D23" s="4" t="str">
        <f>ROADMAP!D9</f>
        <v>Giảng viên tự tạo và publish được phiên thi; chỉ sinh viên có tên trong danh sách mới vào thi được, trong khung giờ và mỗi người một lượt; admin cấu hình được mọi thứ; Student/Lecturer/Admin chỉ thấy đúng phần của mình</v>
      </c>
      <c r="E23" s="4" t="str">
        <f>ROADMAP!G9</f>
        <v>M5 — Ghép nối &amp; làm chắc</v>
      </c>
      <c r="F23" s="2"/>
      <c r="G23" s="2"/>
      <c r="H23" s="2"/>
      <c r="I23" s="2"/>
      <c r="J23" s="2"/>
      <c r="K23" s="2"/>
      <c r="L23" s="2"/>
      <c r="M23" s="2"/>
      <c r="N23" s="2"/>
      <c r="O23" s="2"/>
      <c r="P23" s="2"/>
      <c r="Q23" s="2"/>
      <c r="R23" s="2"/>
      <c r="S23" s="2"/>
      <c r="T23" s="2"/>
      <c r="U23" s="2"/>
      <c r="V23" s="2"/>
      <c r="W23" s="2"/>
      <c r="X23" s="2"/>
      <c r="Y23" s="2"/>
      <c r="Z23" s="2"/>
    </row>
    <row r="24" ht="99.75" spans="1:26">
      <c r="A24" s="4" t="str">
        <f>ROADMAP!A10</f>
        <v>M5 — Ghép nối &amp; làm chắc</v>
      </c>
      <c r="B24" s="4" t="str">
        <f>ROADMAP!E10</f>
        <v>Not Started</v>
      </c>
      <c r="C24" s="7">
        <f>ROADMAP!F10</f>
        <v>0</v>
      </c>
      <c r="D24" s="4" t="str">
        <f>ROADMAP!D10</f>
        <v>Giảng viên tạo phiên thi → sinh viên thi bằng giọng nói → AI gợi ý điểm → giảng viên chốt → báo cáo và thống kê: chạy ổn định nhiều lần</v>
      </c>
      <c r="E24" s="4" t="str">
        <f>ROADMAP!G10</f>
        <v>Thuyết trình cuối kỳ</v>
      </c>
      <c r="F24" s="2"/>
      <c r="G24" s="2"/>
      <c r="H24" s="2"/>
      <c r="I24" s="2"/>
      <c r="J24" s="2"/>
      <c r="K24" s="2"/>
      <c r="L24" s="2"/>
      <c r="M24" s="2"/>
      <c r="N24" s="2"/>
      <c r="O24" s="2"/>
      <c r="P24" s="2"/>
      <c r="Q24" s="2"/>
      <c r="R24" s="2"/>
      <c r="S24" s="2"/>
      <c r="T24" s="2"/>
      <c r="U24" s="2"/>
      <c r="V24" s="2"/>
      <c r="W24" s="2"/>
      <c r="X24" s="2"/>
      <c r="Y24" s="2"/>
      <c r="Z24" s="2"/>
    </row>
    <row r="25" spans="1:26">
      <c r="A25" s="2"/>
      <c r="B25" s="2"/>
      <c r="C25" s="2"/>
      <c r="D25" s="2"/>
      <c r="E25" s="2"/>
      <c r="F25" s="2"/>
      <c r="G25" s="2"/>
      <c r="H25" s="2"/>
      <c r="I25" s="2"/>
      <c r="J25" s="2"/>
      <c r="K25" s="2"/>
      <c r="L25" s="2"/>
      <c r="M25" s="2"/>
      <c r="N25" s="2"/>
      <c r="O25" s="2"/>
      <c r="P25" s="2"/>
      <c r="Q25" s="2"/>
      <c r="R25" s="2"/>
      <c r="S25" s="2"/>
      <c r="T25" s="2"/>
      <c r="U25" s="2"/>
      <c r="V25" s="2"/>
      <c r="W25" s="2"/>
      <c r="X25" s="2"/>
      <c r="Y25" s="2"/>
      <c r="Z25" s="2"/>
    </row>
    <row r="26" spans="1:26">
      <c r="A26" s="2"/>
      <c r="B26" s="2"/>
      <c r="C26" s="2"/>
      <c r="D26" s="2"/>
      <c r="E26" s="2"/>
      <c r="F26" s="2"/>
      <c r="G26" s="2"/>
      <c r="H26" s="2"/>
      <c r="I26" s="2"/>
      <c r="J26" s="2"/>
      <c r="K26" s="2"/>
      <c r="L26" s="2"/>
      <c r="M26" s="2"/>
      <c r="N26" s="2"/>
      <c r="O26" s="2"/>
      <c r="P26" s="2"/>
      <c r="Q26" s="2"/>
      <c r="R26" s="2"/>
      <c r="S26" s="2"/>
      <c r="T26" s="2"/>
      <c r="U26" s="2"/>
      <c r="V26" s="2"/>
      <c r="W26" s="2"/>
      <c r="X26" s="2"/>
      <c r="Y26" s="2"/>
      <c r="Z26" s="2"/>
    </row>
    <row r="27" spans="1:26">
      <c r="A27" s="2"/>
      <c r="B27" s="2"/>
      <c r="C27" s="2"/>
      <c r="D27" s="2"/>
      <c r="E27" s="2"/>
      <c r="F27" s="2"/>
      <c r="G27" s="2"/>
      <c r="H27" s="2"/>
      <c r="I27" s="2"/>
      <c r="J27" s="2"/>
      <c r="K27" s="2"/>
      <c r="L27" s="2"/>
      <c r="M27" s="2"/>
      <c r="N27" s="2"/>
      <c r="O27" s="2"/>
      <c r="P27" s="2"/>
      <c r="Q27" s="2"/>
      <c r="R27" s="2"/>
      <c r="S27" s="2"/>
      <c r="T27" s="2"/>
      <c r="U27" s="2"/>
      <c r="V27" s="2"/>
      <c r="W27" s="2"/>
      <c r="X27" s="2"/>
      <c r="Y27" s="2"/>
      <c r="Z27" s="2"/>
    </row>
    <row r="28" spans="1:26">
      <c r="A28" s="2"/>
      <c r="B28" s="2"/>
      <c r="C28" s="2"/>
      <c r="D28" s="2"/>
      <c r="E28" s="2"/>
      <c r="F28" s="2"/>
      <c r="G28" s="2"/>
      <c r="H28" s="2"/>
      <c r="I28" s="2"/>
      <c r="J28" s="2"/>
      <c r="K28" s="2"/>
      <c r="L28" s="2"/>
      <c r="M28" s="2"/>
      <c r="N28" s="2"/>
      <c r="O28" s="2"/>
      <c r="P28" s="2"/>
      <c r="Q28" s="2"/>
      <c r="R28" s="2"/>
      <c r="S28" s="2"/>
      <c r="T28" s="2"/>
      <c r="U28" s="2"/>
      <c r="V28" s="2"/>
      <c r="W28" s="2"/>
      <c r="X28" s="2"/>
      <c r="Y28" s="2"/>
      <c r="Z28" s="2"/>
    </row>
    <row r="29" spans="1:26">
      <c r="A29" s="2"/>
      <c r="B29" s="2"/>
      <c r="C29" s="2"/>
      <c r="D29" s="2"/>
      <c r="E29" s="2"/>
      <c r="F29" s="2"/>
      <c r="G29" s="2"/>
      <c r="H29" s="2"/>
      <c r="I29" s="2"/>
      <c r="J29" s="2"/>
      <c r="K29" s="2"/>
      <c r="L29" s="2"/>
      <c r="M29" s="2"/>
      <c r="N29" s="2"/>
      <c r="O29" s="2"/>
      <c r="P29" s="2"/>
      <c r="Q29" s="2"/>
      <c r="R29" s="2"/>
      <c r="S29" s="2"/>
      <c r="T29" s="2"/>
      <c r="U29" s="2"/>
      <c r="V29" s="2"/>
      <c r="W29" s="2"/>
      <c r="X29" s="2"/>
      <c r="Y29" s="2"/>
      <c r="Z29" s="2"/>
    </row>
    <row r="30" spans="1:26">
      <c r="A30" s="2"/>
      <c r="B30" s="2"/>
      <c r="C30" s="2"/>
      <c r="D30" s="2"/>
      <c r="E30" s="2"/>
      <c r="F30" s="2"/>
      <c r="G30" s="2"/>
      <c r="H30" s="2"/>
      <c r="I30" s="2"/>
      <c r="J30" s="2"/>
      <c r="K30" s="2"/>
      <c r="L30" s="2"/>
      <c r="M30" s="2"/>
      <c r="N30" s="2"/>
      <c r="O30" s="2"/>
      <c r="P30" s="2"/>
      <c r="Q30" s="2"/>
      <c r="R30" s="2"/>
      <c r="S30" s="2"/>
      <c r="T30" s="2"/>
      <c r="U30" s="2"/>
      <c r="V30" s="2"/>
      <c r="W30" s="2"/>
      <c r="X30" s="2"/>
      <c r="Y30" s="2"/>
      <c r="Z30" s="2"/>
    </row>
    <row r="31" spans="1:26">
      <c r="A31" s="2"/>
      <c r="B31" s="2"/>
      <c r="C31" s="2"/>
      <c r="D31" s="2"/>
      <c r="E31" s="2"/>
      <c r="F31" s="2"/>
      <c r="G31" s="2"/>
      <c r="H31" s="2"/>
      <c r="I31" s="2"/>
      <c r="J31" s="2"/>
      <c r="K31" s="2"/>
      <c r="L31" s="2"/>
      <c r="M31" s="2"/>
      <c r="N31" s="2"/>
      <c r="O31" s="2"/>
      <c r="P31" s="2"/>
      <c r="Q31" s="2"/>
      <c r="R31" s="2"/>
      <c r="S31" s="2"/>
      <c r="T31" s="2"/>
      <c r="U31" s="2"/>
      <c r="V31" s="2"/>
      <c r="W31" s="2"/>
      <c r="X31" s="2"/>
      <c r="Y31" s="2"/>
      <c r="Z31" s="2"/>
    </row>
    <row r="32" spans="1:26">
      <c r="A32" s="2"/>
      <c r="B32" s="2"/>
      <c r="C32" s="2"/>
      <c r="D32" s="2"/>
      <c r="E32" s="2"/>
      <c r="F32" s="2"/>
      <c r="G32" s="2"/>
      <c r="H32" s="2"/>
      <c r="I32" s="2"/>
      <c r="J32" s="2"/>
      <c r="K32" s="2"/>
      <c r="L32" s="2"/>
      <c r="M32" s="2"/>
      <c r="N32" s="2"/>
      <c r="O32" s="2"/>
      <c r="P32" s="2"/>
      <c r="Q32" s="2"/>
      <c r="R32" s="2"/>
      <c r="S32" s="2"/>
      <c r="T32" s="2"/>
      <c r="U32" s="2"/>
      <c r="V32" s="2"/>
      <c r="W32" s="2"/>
      <c r="X32" s="2"/>
      <c r="Y32" s="2"/>
      <c r="Z32" s="2"/>
    </row>
    <row r="33" spans="1:26">
      <c r="A33" s="2"/>
      <c r="B33" s="2"/>
      <c r="C33" s="2"/>
      <c r="D33" s="2"/>
      <c r="E33" s="2"/>
      <c r="F33" s="2"/>
      <c r="G33" s="2"/>
      <c r="H33" s="2"/>
      <c r="I33" s="2"/>
      <c r="J33" s="2"/>
      <c r="K33" s="2"/>
      <c r="L33" s="2"/>
      <c r="M33" s="2"/>
      <c r="N33" s="2"/>
      <c r="O33" s="2"/>
      <c r="P33" s="2"/>
      <c r="Q33" s="2"/>
      <c r="R33" s="2"/>
      <c r="S33" s="2"/>
      <c r="T33" s="2"/>
      <c r="U33" s="2"/>
      <c r="V33" s="2"/>
      <c r="W33" s="2"/>
      <c r="X33" s="2"/>
      <c r="Y33" s="2"/>
      <c r="Z33" s="2"/>
    </row>
    <row r="34" spans="1:26">
      <c r="A34" s="2"/>
      <c r="B34" s="2"/>
      <c r="C34" s="2"/>
      <c r="D34" s="2"/>
      <c r="E34" s="2"/>
      <c r="F34" s="2"/>
      <c r="G34" s="2"/>
      <c r="H34" s="2"/>
      <c r="I34" s="2"/>
      <c r="J34" s="2"/>
      <c r="K34" s="2"/>
      <c r="L34" s="2"/>
      <c r="M34" s="2"/>
      <c r="N34" s="2"/>
      <c r="O34" s="2"/>
      <c r="P34" s="2"/>
      <c r="Q34" s="2"/>
      <c r="R34" s="2"/>
      <c r="S34" s="2"/>
      <c r="T34" s="2"/>
      <c r="U34" s="2"/>
      <c r="V34" s="2"/>
      <c r="W34" s="2"/>
      <c r="X34" s="2"/>
      <c r="Y34" s="2"/>
      <c r="Z34" s="2"/>
    </row>
    <row r="35" spans="1:26">
      <c r="A35" s="2"/>
      <c r="B35" s="2"/>
      <c r="C35" s="2"/>
      <c r="D35" s="2"/>
      <c r="E35" s="2"/>
      <c r="F35" s="2"/>
      <c r="G35" s="2"/>
      <c r="H35" s="2"/>
      <c r="I35" s="2"/>
      <c r="J35" s="2"/>
      <c r="K35" s="2"/>
      <c r="L35" s="2"/>
      <c r="M35" s="2"/>
      <c r="N35" s="2"/>
      <c r="O35" s="2"/>
      <c r="P35" s="2"/>
      <c r="Q35" s="2"/>
      <c r="R35" s="2"/>
      <c r="S35" s="2"/>
      <c r="T35" s="2"/>
      <c r="U35" s="2"/>
      <c r="V35" s="2"/>
      <c r="W35" s="2"/>
      <c r="X35" s="2"/>
      <c r="Y35" s="2"/>
      <c r="Z35" s="2"/>
    </row>
    <row r="36" spans="1:26">
      <c r="A36" s="2"/>
      <c r="B36" s="2"/>
      <c r="C36" s="2"/>
      <c r="D36" s="2"/>
      <c r="E36" s="2"/>
      <c r="F36" s="2"/>
      <c r="G36" s="2"/>
      <c r="H36" s="2"/>
      <c r="I36" s="2"/>
      <c r="J36" s="2"/>
      <c r="K36" s="2"/>
      <c r="L36" s="2"/>
      <c r="M36" s="2"/>
      <c r="N36" s="2"/>
      <c r="O36" s="2"/>
      <c r="P36" s="2"/>
      <c r="Q36" s="2"/>
      <c r="R36" s="2"/>
      <c r="S36" s="2"/>
      <c r="T36" s="2"/>
      <c r="U36" s="2"/>
      <c r="V36" s="2"/>
      <c r="W36" s="2"/>
      <c r="X36" s="2"/>
      <c r="Y36" s="2"/>
      <c r="Z36" s="2"/>
    </row>
    <row r="37" spans="1:26">
      <c r="A37" s="2"/>
      <c r="B37" s="2"/>
      <c r="C37" s="2"/>
      <c r="D37" s="2"/>
      <c r="E37" s="2"/>
      <c r="F37" s="2"/>
      <c r="G37" s="2"/>
      <c r="H37" s="2"/>
      <c r="I37" s="2"/>
      <c r="J37" s="2"/>
      <c r="K37" s="2"/>
      <c r="L37" s="2"/>
      <c r="M37" s="2"/>
      <c r="N37" s="2"/>
      <c r="O37" s="2"/>
      <c r="P37" s="2"/>
      <c r="Q37" s="2"/>
      <c r="R37" s="2"/>
      <c r="S37" s="2"/>
      <c r="T37" s="2"/>
      <c r="U37" s="2"/>
      <c r="V37" s="2"/>
      <c r="W37" s="2"/>
      <c r="X37" s="2"/>
      <c r="Y37" s="2"/>
      <c r="Z37" s="2"/>
    </row>
    <row r="38" spans="1:26">
      <c r="A38" s="2"/>
      <c r="B38" s="2"/>
      <c r="C38" s="2"/>
      <c r="D38" s="2"/>
      <c r="E38" s="2"/>
      <c r="F38" s="2"/>
      <c r="G38" s="2"/>
      <c r="H38" s="2"/>
      <c r="I38" s="2"/>
      <c r="J38" s="2"/>
      <c r="K38" s="2"/>
      <c r="L38" s="2"/>
      <c r="M38" s="2"/>
      <c r="N38" s="2"/>
      <c r="O38" s="2"/>
      <c r="P38" s="2"/>
      <c r="Q38" s="2"/>
      <c r="R38" s="2"/>
      <c r="S38" s="2"/>
      <c r="T38" s="2"/>
      <c r="U38" s="2"/>
      <c r="V38" s="2"/>
      <c r="W38" s="2"/>
      <c r="X38" s="2"/>
      <c r="Y38" s="2"/>
      <c r="Z38" s="2"/>
    </row>
    <row r="39" spans="1:26">
      <c r="A39" s="2"/>
      <c r="B39" s="2"/>
      <c r="C39" s="2"/>
      <c r="D39" s="2"/>
      <c r="E39" s="2"/>
      <c r="F39" s="2"/>
      <c r="G39" s="2"/>
      <c r="H39" s="2"/>
      <c r="I39" s="2"/>
      <c r="J39" s="2"/>
      <c r="K39" s="2"/>
      <c r="L39" s="2"/>
      <c r="M39" s="2"/>
      <c r="N39" s="2"/>
      <c r="O39" s="2"/>
      <c r="P39" s="2"/>
      <c r="Q39" s="2"/>
      <c r="R39" s="2"/>
      <c r="S39" s="2"/>
      <c r="T39" s="2"/>
      <c r="U39" s="2"/>
      <c r="V39" s="2"/>
      <c r="W39" s="2"/>
      <c r="X39" s="2"/>
      <c r="Y39" s="2"/>
      <c r="Z39" s="2"/>
    </row>
    <row r="40" spans="1:26">
      <c r="A40" s="2"/>
      <c r="B40" s="2"/>
      <c r="C40" s="2"/>
      <c r="D40" s="2"/>
      <c r="E40" s="2"/>
      <c r="F40" s="2"/>
      <c r="G40" s="2"/>
      <c r="H40" s="2"/>
      <c r="I40" s="2"/>
      <c r="J40" s="2"/>
      <c r="K40" s="2"/>
      <c r="L40" s="2"/>
      <c r="M40" s="2"/>
      <c r="N40" s="2"/>
      <c r="O40" s="2"/>
      <c r="P40" s="2"/>
      <c r="Q40" s="2"/>
      <c r="R40" s="2"/>
      <c r="S40" s="2"/>
      <c r="T40" s="2"/>
      <c r="U40" s="2"/>
      <c r="V40" s="2"/>
      <c r="W40" s="2"/>
      <c r="X40" s="2"/>
      <c r="Y40" s="2"/>
      <c r="Z40" s="2"/>
    </row>
    <row r="41" spans="1:26">
      <c r="A41" s="2"/>
      <c r="B41" s="2"/>
      <c r="C41" s="2"/>
      <c r="D41" s="2"/>
      <c r="E41" s="2"/>
      <c r="F41" s="2"/>
      <c r="G41" s="2"/>
      <c r="H41" s="2"/>
      <c r="I41" s="2"/>
      <c r="J41" s="2"/>
      <c r="K41" s="2"/>
      <c r="L41" s="2"/>
      <c r="M41" s="2"/>
      <c r="N41" s="2"/>
      <c r="O41" s="2"/>
      <c r="P41" s="2"/>
      <c r="Q41" s="2"/>
      <c r="R41" s="2"/>
      <c r="S41" s="2"/>
      <c r="T41" s="2"/>
      <c r="U41" s="2"/>
      <c r="V41" s="2"/>
      <c r="W41" s="2"/>
      <c r="X41" s="2"/>
      <c r="Y41" s="2"/>
      <c r="Z41" s="2"/>
    </row>
    <row r="42" spans="1:26">
      <c r="A42" s="2"/>
      <c r="B42" s="2"/>
      <c r="C42" s="2"/>
      <c r="D42" s="2"/>
      <c r="E42" s="2"/>
      <c r="F42" s="2"/>
      <c r="G42" s="2"/>
      <c r="H42" s="2"/>
      <c r="I42" s="2"/>
      <c r="J42" s="2"/>
      <c r="K42" s="2"/>
      <c r="L42" s="2"/>
      <c r="M42" s="2"/>
      <c r="N42" s="2"/>
      <c r="O42" s="2"/>
      <c r="P42" s="2"/>
      <c r="Q42" s="2"/>
      <c r="R42" s="2"/>
      <c r="S42" s="2"/>
      <c r="T42" s="2"/>
      <c r="U42" s="2"/>
      <c r="V42" s="2"/>
      <c r="W42" s="2"/>
      <c r="X42" s="2"/>
      <c r="Y42" s="2"/>
      <c r="Z42" s="2"/>
    </row>
    <row r="43" spans="1:26">
      <c r="A43" s="2"/>
      <c r="B43" s="2"/>
      <c r="C43" s="2"/>
      <c r="D43" s="2"/>
      <c r="E43" s="2"/>
      <c r="F43" s="2"/>
      <c r="G43" s="2"/>
      <c r="H43" s="2"/>
      <c r="I43" s="2"/>
      <c r="J43" s="2"/>
      <c r="K43" s="2"/>
      <c r="L43" s="2"/>
      <c r="M43" s="2"/>
      <c r="N43" s="2"/>
      <c r="O43" s="2"/>
      <c r="P43" s="2"/>
      <c r="Q43" s="2"/>
      <c r="R43" s="2"/>
      <c r="S43" s="2"/>
      <c r="T43" s="2"/>
      <c r="U43" s="2"/>
      <c r="V43" s="2"/>
      <c r="W43" s="2"/>
      <c r="X43" s="2"/>
      <c r="Y43" s="2"/>
      <c r="Z43" s="2"/>
    </row>
    <row r="44" spans="1:26">
      <c r="A44" s="2"/>
      <c r="B44" s="2"/>
      <c r="C44" s="2"/>
      <c r="D44" s="2"/>
      <c r="E44" s="2"/>
      <c r="F44" s="2"/>
      <c r="G44" s="2"/>
      <c r="H44" s="2"/>
      <c r="I44" s="2"/>
      <c r="J44" s="2"/>
      <c r="K44" s="2"/>
      <c r="L44" s="2"/>
      <c r="M44" s="2"/>
      <c r="N44" s="2"/>
      <c r="O44" s="2"/>
      <c r="P44" s="2"/>
      <c r="Q44" s="2"/>
      <c r="R44" s="2"/>
      <c r="S44" s="2"/>
      <c r="T44" s="2"/>
      <c r="U44" s="2"/>
      <c r="V44" s="2"/>
      <c r="W44" s="2"/>
      <c r="X44" s="2"/>
      <c r="Y44" s="2"/>
      <c r="Z44" s="2"/>
    </row>
    <row r="45" spans="1:26">
      <c r="A45" s="2"/>
      <c r="B45" s="2"/>
      <c r="C45" s="2"/>
      <c r="D45" s="2"/>
      <c r="E45" s="2"/>
      <c r="F45" s="2"/>
      <c r="G45" s="2"/>
      <c r="H45" s="2"/>
      <c r="I45" s="2"/>
      <c r="J45" s="2"/>
      <c r="K45" s="2"/>
      <c r="L45" s="2"/>
      <c r="M45" s="2"/>
      <c r="N45" s="2"/>
      <c r="O45" s="2"/>
      <c r="P45" s="2"/>
      <c r="Q45" s="2"/>
      <c r="R45" s="2"/>
      <c r="S45" s="2"/>
      <c r="T45" s="2"/>
      <c r="U45" s="2"/>
      <c r="V45" s="2"/>
      <c r="W45" s="2"/>
      <c r="X45" s="2"/>
      <c r="Y45" s="2"/>
      <c r="Z45" s="2"/>
    </row>
    <row r="46" spans="1:26">
      <c r="A46" s="2"/>
      <c r="B46" s="2"/>
      <c r="C46" s="2"/>
      <c r="D46" s="2"/>
      <c r="E46" s="2"/>
      <c r="F46" s="2"/>
      <c r="G46" s="2"/>
      <c r="H46" s="2"/>
      <c r="I46" s="2"/>
      <c r="J46" s="2"/>
      <c r="K46" s="2"/>
      <c r="L46" s="2"/>
      <c r="M46" s="2"/>
      <c r="N46" s="2"/>
      <c r="O46" s="2"/>
      <c r="P46" s="2"/>
      <c r="Q46" s="2"/>
      <c r="R46" s="2"/>
      <c r="S46" s="2"/>
      <c r="T46" s="2"/>
      <c r="U46" s="2"/>
      <c r="V46" s="2"/>
      <c r="W46" s="2"/>
      <c r="X46" s="2"/>
      <c r="Y46" s="2"/>
      <c r="Z46" s="2"/>
    </row>
    <row r="47" spans="1:26">
      <c r="A47" s="2"/>
      <c r="B47" s="2"/>
      <c r="C47" s="2"/>
      <c r="D47" s="2"/>
      <c r="E47" s="2"/>
      <c r="F47" s="2"/>
      <c r="G47" s="2"/>
      <c r="H47" s="2"/>
      <c r="I47" s="2"/>
      <c r="J47" s="2"/>
      <c r="K47" s="2"/>
      <c r="L47" s="2"/>
      <c r="M47" s="2"/>
      <c r="N47" s="2"/>
      <c r="O47" s="2"/>
      <c r="P47" s="2"/>
      <c r="Q47" s="2"/>
      <c r="R47" s="2"/>
      <c r="S47" s="2"/>
      <c r="T47" s="2"/>
      <c r="U47" s="2"/>
      <c r="V47" s="2"/>
      <c r="W47" s="2"/>
      <c r="X47" s="2"/>
      <c r="Y47" s="2"/>
      <c r="Z47" s="2"/>
    </row>
    <row r="48" spans="1:26">
      <c r="A48" s="2"/>
      <c r="B48" s="2"/>
      <c r="C48" s="2"/>
      <c r="D48" s="2"/>
      <c r="E48" s="2"/>
      <c r="F48" s="2"/>
      <c r="G48" s="2"/>
      <c r="H48" s="2"/>
      <c r="I48" s="2"/>
      <c r="J48" s="2"/>
      <c r="K48" s="2"/>
      <c r="L48" s="2"/>
      <c r="M48" s="2"/>
      <c r="N48" s="2"/>
      <c r="O48" s="2"/>
      <c r="P48" s="2"/>
      <c r="Q48" s="2"/>
      <c r="R48" s="2"/>
      <c r="S48" s="2"/>
      <c r="T48" s="2"/>
      <c r="U48" s="2"/>
      <c r="V48" s="2"/>
      <c r="W48" s="2"/>
      <c r="X48" s="2"/>
      <c r="Y48" s="2"/>
      <c r="Z48" s="2"/>
    </row>
    <row r="49" spans="1:26">
      <c r="A49" s="2"/>
      <c r="B49" s="2"/>
      <c r="C49" s="2"/>
      <c r="D49" s="2"/>
      <c r="E49" s="2"/>
      <c r="F49" s="2"/>
      <c r="G49" s="2"/>
      <c r="H49" s="2"/>
      <c r="I49" s="2"/>
      <c r="J49" s="2"/>
      <c r="K49" s="2"/>
      <c r="L49" s="2"/>
      <c r="M49" s="2"/>
      <c r="N49" s="2"/>
      <c r="O49" s="2"/>
      <c r="P49" s="2"/>
      <c r="Q49" s="2"/>
      <c r="R49" s="2"/>
      <c r="S49" s="2"/>
      <c r="T49" s="2"/>
      <c r="U49" s="2"/>
      <c r="V49" s="2"/>
      <c r="W49" s="2"/>
      <c r="X49" s="2"/>
      <c r="Y49" s="2"/>
      <c r="Z49" s="2"/>
    </row>
    <row r="50" spans="1:26">
      <c r="A50" s="2"/>
      <c r="B50" s="2"/>
      <c r="C50" s="2"/>
      <c r="D50" s="2"/>
      <c r="E50" s="2"/>
      <c r="F50" s="2"/>
      <c r="G50" s="2"/>
      <c r="H50" s="2"/>
      <c r="I50" s="2"/>
      <c r="J50" s="2"/>
      <c r="K50" s="2"/>
      <c r="L50" s="2"/>
      <c r="M50" s="2"/>
      <c r="N50" s="2"/>
      <c r="O50" s="2"/>
      <c r="P50" s="2"/>
      <c r="Q50" s="2"/>
      <c r="R50" s="2"/>
      <c r="S50" s="2"/>
      <c r="T50" s="2"/>
      <c r="U50" s="2"/>
      <c r="V50" s="2"/>
      <c r="W50" s="2"/>
      <c r="X50" s="2"/>
      <c r="Y50" s="2"/>
      <c r="Z50" s="2"/>
    </row>
    <row r="51" spans="1:26">
      <c r="A51" s="2"/>
      <c r="B51" s="2"/>
      <c r="C51" s="2"/>
      <c r="D51" s="2"/>
      <c r="E51" s="2"/>
      <c r="F51" s="2"/>
      <c r="G51" s="2"/>
      <c r="H51" s="2"/>
      <c r="I51" s="2"/>
      <c r="J51" s="2"/>
      <c r="K51" s="2"/>
      <c r="L51" s="2"/>
      <c r="M51" s="2"/>
      <c r="N51" s="2"/>
      <c r="O51" s="2"/>
      <c r="P51" s="2"/>
      <c r="Q51" s="2"/>
      <c r="R51" s="2"/>
      <c r="S51" s="2"/>
      <c r="T51" s="2"/>
      <c r="U51" s="2"/>
      <c r="V51" s="2"/>
      <c r="W51" s="2"/>
      <c r="X51" s="2"/>
      <c r="Y51" s="2"/>
      <c r="Z51" s="2"/>
    </row>
    <row r="52" spans="1:26">
      <c r="A52" s="2"/>
      <c r="B52" s="2"/>
      <c r="C52" s="2"/>
      <c r="D52" s="2"/>
      <c r="E52" s="2"/>
      <c r="F52" s="2"/>
      <c r="G52" s="2"/>
      <c r="H52" s="2"/>
      <c r="I52" s="2"/>
      <c r="J52" s="2"/>
      <c r="K52" s="2"/>
      <c r="L52" s="2"/>
      <c r="M52" s="2"/>
      <c r="N52" s="2"/>
      <c r="O52" s="2"/>
      <c r="P52" s="2"/>
      <c r="Q52" s="2"/>
      <c r="R52" s="2"/>
      <c r="S52" s="2"/>
      <c r="T52" s="2"/>
      <c r="U52" s="2"/>
      <c r="V52" s="2"/>
      <c r="W52" s="2"/>
      <c r="X52" s="2"/>
      <c r="Y52" s="2"/>
      <c r="Z52" s="2"/>
    </row>
    <row r="53" spans="1:26">
      <c r="A53" s="2"/>
      <c r="B53" s="2"/>
      <c r="C53" s="2"/>
      <c r="D53" s="2"/>
      <c r="E53" s="2"/>
      <c r="F53" s="2"/>
      <c r="G53" s="2"/>
      <c r="H53" s="2"/>
      <c r="I53" s="2"/>
      <c r="J53" s="2"/>
      <c r="K53" s="2"/>
      <c r="L53" s="2"/>
      <c r="M53" s="2"/>
      <c r="N53" s="2"/>
      <c r="O53" s="2"/>
      <c r="P53" s="2"/>
      <c r="Q53" s="2"/>
      <c r="R53" s="2"/>
      <c r="S53" s="2"/>
      <c r="T53" s="2"/>
      <c r="U53" s="2"/>
      <c r="V53" s="2"/>
      <c r="W53" s="2"/>
      <c r="X53" s="2"/>
      <c r="Y53" s="2"/>
      <c r="Z53" s="2"/>
    </row>
    <row r="54" spans="1:26">
      <c r="A54" s="2"/>
      <c r="B54" s="2"/>
      <c r="C54" s="2"/>
      <c r="D54" s="2"/>
      <c r="E54" s="2"/>
      <c r="F54" s="2"/>
      <c r="G54" s="2"/>
      <c r="H54" s="2"/>
      <c r="I54" s="2"/>
      <c r="J54" s="2"/>
      <c r="K54" s="2"/>
      <c r="L54" s="2"/>
      <c r="M54" s="2"/>
      <c r="N54" s="2"/>
      <c r="O54" s="2"/>
      <c r="P54" s="2"/>
      <c r="Q54" s="2"/>
      <c r="R54" s="2"/>
      <c r="S54" s="2"/>
      <c r="T54" s="2"/>
      <c r="U54" s="2"/>
      <c r="V54" s="2"/>
      <c r="W54" s="2"/>
      <c r="X54" s="2"/>
      <c r="Y54" s="2"/>
      <c r="Z54" s="2"/>
    </row>
    <row r="55" spans="1:26">
      <c r="A55" s="2"/>
      <c r="B55" s="2"/>
      <c r="C55" s="2"/>
      <c r="D55" s="2"/>
      <c r="E55" s="2"/>
      <c r="F55" s="2"/>
      <c r="G55" s="2"/>
      <c r="H55" s="2"/>
      <c r="I55" s="2"/>
      <c r="J55" s="2"/>
      <c r="K55" s="2"/>
      <c r="L55" s="2"/>
      <c r="M55" s="2"/>
      <c r="N55" s="2"/>
      <c r="O55" s="2"/>
      <c r="P55" s="2"/>
      <c r="Q55" s="2"/>
      <c r="R55" s="2"/>
      <c r="S55" s="2"/>
      <c r="T55" s="2"/>
      <c r="U55" s="2"/>
      <c r="V55" s="2"/>
      <c r="W55" s="2"/>
      <c r="X55" s="2"/>
      <c r="Y55" s="2"/>
      <c r="Z55" s="2"/>
    </row>
    <row r="56" spans="1:26">
      <c r="A56" s="2"/>
      <c r="B56" s="2"/>
      <c r="C56" s="2"/>
      <c r="D56" s="2"/>
      <c r="E56" s="2"/>
      <c r="F56" s="2"/>
      <c r="G56" s="2"/>
      <c r="H56" s="2"/>
      <c r="I56" s="2"/>
      <c r="J56" s="2"/>
      <c r="K56" s="2"/>
      <c r="L56" s="2"/>
      <c r="M56" s="2"/>
      <c r="N56" s="2"/>
      <c r="O56" s="2"/>
      <c r="P56" s="2"/>
      <c r="Q56" s="2"/>
      <c r="R56" s="2"/>
      <c r="S56" s="2"/>
      <c r="T56" s="2"/>
      <c r="U56" s="2"/>
      <c r="V56" s="2"/>
      <c r="W56" s="2"/>
      <c r="X56" s="2"/>
      <c r="Y56" s="2"/>
      <c r="Z56" s="2"/>
    </row>
    <row r="57" spans="1:26">
      <c r="A57" s="2"/>
      <c r="B57" s="2"/>
      <c r="C57" s="2"/>
      <c r="D57" s="2"/>
      <c r="E57" s="2"/>
      <c r="F57" s="2"/>
      <c r="G57" s="2"/>
      <c r="H57" s="2"/>
      <c r="I57" s="2"/>
      <c r="J57" s="2"/>
      <c r="K57" s="2"/>
      <c r="L57" s="2"/>
      <c r="M57" s="2"/>
      <c r="N57" s="2"/>
      <c r="O57" s="2"/>
      <c r="P57" s="2"/>
      <c r="Q57" s="2"/>
      <c r="R57" s="2"/>
      <c r="S57" s="2"/>
      <c r="T57" s="2"/>
      <c r="U57" s="2"/>
      <c r="V57" s="2"/>
      <c r="W57" s="2"/>
      <c r="X57" s="2"/>
      <c r="Y57" s="2"/>
      <c r="Z57" s="2"/>
    </row>
    <row r="58" spans="1:26">
      <c r="A58" s="2"/>
      <c r="B58" s="2"/>
      <c r="C58" s="2"/>
      <c r="D58" s="2"/>
      <c r="E58" s="2"/>
      <c r="F58" s="2"/>
      <c r="G58" s="2"/>
      <c r="H58" s="2"/>
      <c r="I58" s="2"/>
      <c r="J58" s="2"/>
      <c r="K58" s="2"/>
      <c r="L58" s="2"/>
      <c r="M58" s="2"/>
      <c r="N58" s="2"/>
      <c r="O58" s="2"/>
      <c r="P58" s="2"/>
      <c r="Q58" s="2"/>
      <c r="R58" s="2"/>
      <c r="S58" s="2"/>
      <c r="T58" s="2"/>
      <c r="U58" s="2"/>
      <c r="V58" s="2"/>
      <c r="W58" s="2"/>
      <c r="X58" s="2"/>
      <c r="Y58" s="2"/>
      <c r="Z58" s="2"/>
    </row>
    <row r="59" spans="1:26">
      <c r="A59" s="2"/>
      <c r="B59" s="2"/>
      <c r="C59" s="2"/>
      <c r="D59" s="2"/>
      <c r="E59" s="2"/>
      <c r="F59" s="2"/>
      <c r="G59" s="2"/>
      <c r="H59" s="2"/>
      <c r="I59" s="2"/>
      <c r="J59" s="2"/>
      <c r="K59" s="2"/>
      <c r="L59" s="2"/>
      <c r="M59" s="2"/>
      <c r="N59" s="2"/>
      <c r="O59" s="2"/>
      <c r="P59" s="2"/>
      <c r="Q59" s="2"/>
      <c r="R59" s="2"/>
      <c r="S59" s="2"/>
      <c r="T59" s="2"/>
      <c r="U59" s="2"/>
      <c r="V59" s="2"/>
      <c r="W59" s="2"/>
      <c r="X59" s="2"/>
      <c r="Y59" s="2"/>
      <c r="Z59" s="2"/>
    </row>
    <row r="60" spans="1:26">
      <c r="A60" s="2"/>
      <c r="B60" s="2"/>
      <c r="C60" s="2"/>
      <c r="D60" s="2"/>
      <c r="E60" s="2"/>
      <c r="F60" s="2"/>
      <c r="G60" s="2"/>
      <c r="H60" s="2"/>
      <c r="I60" s="2"/>
      <c r="J60" s="2"/>
      <c r="K60" s="2"/>
      <c r="L60" s="2"/>
      <c r="M60" s="2"/>
      <c r="N60" s="2"/>
      <c r="O60" s="2"/>
      <c r="P60" s="2"/>
      <c r="Q60" s="2"/>
      <c r="R60" s="2"/>
      <c r="S60" s="2"/>
      <c r="T60" s="2"/>
      <c r="U60" s="2"/>
      <c r="V60" s="2"/>
      <c r="W60" s="2"/>
      <c r="X60" s="2"/>
      <c r="Y60" s="2"/>
      <c r="Z60" s="2"/>
    </row>
    <row r="61" spans="1:26">
      <c r="A61" s="2"/>
      <c r="B61" s="2"/>
      <c r="C61" s="2"/>
      <c r="D61" s="2"/>
      <c r="E61" s="2"/>
      <c r="F61" s="2"/>
      <c r="G61" s="2"/>
      <c r="H61" s="2"/>
      <c r="I61" s="2"/>
      <c r="J61" s="2"/>
      <c r="K61" s="2"/>
      <c r="L61" s="2"/>
      <c r="M61" s="2"/>
      <c r="N61" s="2"/>
      <c r="O61" s="2"/>
      <c r="P61" s="2"/>
      <c r="Q61" s="2"/>
      <c r="R61" s="2"/>
      <c r="S61" s="2"/>
      <c r="T61" s="2"/>
      <c r="U61" s="2"/>
      <c r="V61" s="2"/>
      <c r="W61" s="2"/>
      <c r="X61" s="2"/>
      <c r="Y61" s="2"/>
      <c r="Z61" s="2"/>
    </row>
    <row r="62" spans="1:26">
      <c r="A62" s="2"/>
      <c r="B62" s="2"/>
      <c r="C62" s="2"/>
      <c r="D62" s="2"/>
      <c r="E62" s="2"/>
      <c r="F62" s="2"/>
      <c r="G62" s="2"/>
      <c r="H62" s="2"/>
      <c r="I62" s="2"/>
      <c r="J62" s="2"/>
      <c r="K62" s="2"/>
      <c r="L62" s="2"/>
      <c r="M62" s="2"/>
      <c r="N62" s="2"/>
      <c r="O62" s="2"/>
      <c r="P62" s="2"/>
      <c r="Q62" s="2"/>
      <c r="R62" s="2"/>
      <c r="S62" s="2"/>
      <c r="T62" s="2"/>
      <c r="U62" s="2"/>
      <c r="V62" s="2"/>
      <c r="W62" s="2"/>
      <c r="X62" s="2"/>
      <c r="Y62" s="2"/>
      <c r="Z62" s="2"/>
    </row>
    <row r="63" spans="1:26">
      <c r="A63" s="2"/>
      <c r="B63" s="2"/>
      <c r="C63" s="2"/>
      <c r="D63" s="2"/>
      <c r="E63" s="2"/>
      <c r="F63" s="2"/>
      <c r="G63" s="2"/>
      <c r="H63" s="2"/>
      <c r="I63" s="2"/>
      <c r="J63" s="2"/>
      <c r="K63" s="2"/>
      <c r="L63" s="2"/>
      <c r="M63" s="2"/>
      <c r="N63" s="2"/>
      <c r="O63" s="2"/>
      <c r="P63" s="2"/>
      <c r="Q63" s="2"/>
      <c r="R63" s="2"/>
      <c r="S63" s="2"/>
      <c r="T63" s="2"/>
      <c r="U63" s="2"/>
      <c r="V63" s="2"/>
      <c r="W63" s="2"/>
      <c r="X63" s="2"/>
      <c r="Y63" s="2"/>
      <c r="Z63" s="2"/>
    </row>
    <row r="64" spans="1:26">
      <c r="A64" s="2"/>
      <c r="B64" s="2"/>
      <c r="C64" s="2"/>
      <c r="D64" s="2"/>
      <c r="E64" s="2"/>
      <c r="F64" s="2"/>
      <c r="G64" s="2"/>
      <c r="H64" s="2"/>
      <c r="I64" s="2"/>
      <c r="J64" s="2"/>
      <c r="K64" s="2"/>
      <c r="L64" s="2"/>
      <c r="M64" s="2"/>
      <c r="N64" s="2"/>
      <c r="O64" s="2"/>
      <c r="P64" s="2"/>
      <c r="Q64" s="2"/>
      <c r="R64" s="2"/>
      <c r="S64" s="2"/>
      <c r="T64" s="2"/>
      <c r="U64" s="2"/>
      <c r="V64" s="2"/>
      <c r="W64" s="2"/>
      <c r="X64" s="2"/>
      <c r="Y64" s="2"/>
      <c r="Z64" s="2"/>
    </row>
    <row r="65" spans="1:26">
      <c r="A65" s="2"/>
      <c r="B65" s="2"/>
      <c r="C65" s="2"/>
      <c r="D65" s="2"/>
      <c r="E65" s="2"/>
      <c r="F65" s="2"/>
      <c r="G65" s="2"/>
      <c r="H65" s="2"/>
      <c r="I65" s="2"/>
      <c r="J65" s="2"/>
      <c r="K65" s="2"/>
      <c r="L65" s="2"/>
      <c r="M65" s="2"/>
      <c r="N65" s="2"/>
      <c r="O65" s="2"/>
      <c r="P65" s="2"/>
      <c r="Q65" s="2"/>
      <c r="R65" s="2"/>
      <c r="S65" s="2"/>
      <c r="T65" s="2"/>
      <c r="U65" s="2"/>
      <c r="V65" s="2"/>
      <c r="W65" s="2"/>
      <c r="X65" s="2"/>
      <c r="Y65" s="2"/>
      <c r="Z65" s="2"/>
    </row>
    <row r="66" spans="1:26">
      <c r="A66" s="2"/>
      <c r="B66" s="2"/>
      <c r="C66" s="2"/>
      <c r="D66" s="2"/>
      <c r="E66" s="2"/>
      <c r="F66" s="2"/>
      <c r="G66" s="2"/>
      <c r="H66" s="2"/>
      <c r="I66" s="2"/>
      <c r="J66" s="2"/>
      <c r="K66" s="2"/>
      <c r="L66" s="2"/>
      <c r="M66" s="2"/>
      <c r="N66" s="2"/>
      <c r="O66" s="2"/>
      <c r="P66" s="2"/>
      <c r="Q66" s="2"/>
      <c r="R66" s="2"/>
      <c r="S66" s="2"/>
      <c r="T66" s="2"/>
      <c r="U66" s="2"/>
      <c r="V66" s="2"/>
      <c r="W66" s="2"/>
      <c r="X66" s="2"/>
      <c r="Y66" s="2"/>
      <c r="Z66" s="2"/>
    </row>
    <row r="67" spans="1:26">
      <c r="A67" s="2"/>
      <c r="B67" s="2"/>
      <c r="C67" s="2"/>
      <c r="D67" s="2"/>
      <c r="E67" s="2"/>
      <c r="F67" s="2"/>
      <c r="G67" s="2"/>
      <c r="H67" s="2"/>
      <c r="I67" s="2"/>
      <c r="J67" s="2"/>
      <c r="K67" s="2"/>
      <c r="L67" s="2"/>
      <c r="M67" s="2"/>
      <c r="N67" s="2"/>
      <c r="O67" s="2"/>
      <c r="P67" s="2"/>
      <c r="Q67" s="2"/>
      <c r="R67" s="2"/>
      <c r="S67" s="2"/>
      <c r="T67" s="2"/>
      <c r="U67" s="2"/>
      <c r="V67" s="2"/>
      <c r="W67" s="2"/>
      <c r="X67" s="2"/>
      <c r="Y67" s="2"/>
      <c r="Z67" s="2"/>
    </row>
    <row r="68" spans="1:26">
      <c r="A68" s="2"/>
      <c r="B68" s="2"/>
      <c r="C68" s="2"/>
      <c r="D68" s="2"/>
      <c r="E68" s="2"/>
      <c r="F68" s="2"/>
      <c r="G68" s="2"/>
      <c r="H68" s="2"/>
      <c r="I68" s="2"/>
      <c r="J68" s="2"/>
      <c r="K68" s="2"/>
      <c r="L68" s="2"/>
      <c r="M68" s="2"/>
      <c r="N68" s="2"/>
      <c r="O68" s="2"/>
      <c r="P68" s="2"/>
      <c r="Q68" s="2"/>
      <c r="R68" s="2"/>
      <c r="S68" s="2"/>
      <c r="T68" s="2"/>
      <c r="U68" s="2"/>
      <c r="V68" s="2"/>
      <c r="W68" s="2"/>
      <c r="X68" s="2"/>
      <c r="Y68" s="2"/>
      <c r="Z68" s="2"/>
    </row>
    <row r="69" spans="1:26">
      <c r="A69" s="2"/>
      <c r="B69" s="2"/>
      <c r="C69" s="2"/>
      <c r="D69" s="2"/>
      <c r="E69" s="2"/>
      <c r="F69" s="2"/>
      <c r="G69" s="2"/>
      <c r="H69" s="2"/>
      <c r="I69" s="2"/>
      <c r="J69" s="2"/>
      <c r="K69" s="2"/>
      <c r="L69" s="2"/>
      <c r="M69" s="2"/>
      <c r="N69" s="2"/>
      <c r="O69" s="2"/>
      <c r="P69" s="2"/>
      <c r="Q69" s="2"/>
      <c r="R69" s="2"/>
      <c r="S69" s="2"/>
      <c r="T69" s="2"/>
      <c r="U69" s="2"/>
      <c r="V69" s="2"/>
      <c r="W69" s="2"/>
      <c r="X69" s="2"/>
      <c r="Y69" s="2"/>
      <c r="Z69" s="2"/>
    </row>
    <row r="70" spans="1:26">
      <c r="A70" s="2"/>
      <c r="B70" s="2"/>
      <c r="C70" s="2"/>
      <c r="D70" s="2"/>
      <c r="E70" s="2"/>
      <c r="F70" s="2"/>
      <c r="G70" s="2"/>
      <c r="H70" s="2"/>
      <c r="I70" s="2"/>
      <c r="J70" s="2"/>
      <c r="K70" s="2"/>
      <c r="L70" s="2"/>
      <c r="M70" s="2"/>
      <c r="N70" s="2"/>
      <c r="O70" s="2"/>
      <c r="P70" s="2"/>
      <c r="Q70" s="2"/>
      <c r="R70" s="2"/>
      <c r="S70" s="2"/>
      <c r="T70" s="2"/>
      <c r="U70" s="2"/>
      <c r="V70" s="2"/>
      <c r="W70" s="2"/>
      <c r="X70" s="2"/>
      <c r="Y70" s="2"/>
      <c r="Z70" s="2"/>
    </row>
    <row r="71" spans="1:26">
      <c r="A71" s="2"/>
      <c r="B71" s="2"/>
      <c r="C71" s="2"/>
      <c r="D71" s="2"/>
      <c r="E71" s="2"/>
      <c r="F71" s="2"/>
      <c r="G71" s="2"/>
      <c r="H71" s="2"/>
      <c r="I71" s="2"/>
      <c r="J71" s="2"/>
      <c r="K71" s="2"/>
      <c r="L71" s="2"/>
      <c r="M71" s="2"/>
      <c r="N71" s="2"/>
      <c r="O71" s="2"/>
      <c r="P71" s="2"/>
      <c r="Q71" s="2"/>
      <c r="R71" s="2"/>
      <c r="S71" s="2"/>
      <c r="T71" s="2"/>
      <c r="U71" s="2"/>
      <c r="V71" s="2"/>
      <c r="W71" s="2"/>
      <c r="X71" s="2"/>
      <c r="Y71" s="2"/>
      <c r="Z71" s="2"/>
    </row>
    <row r="72" spans="1:26">
      <c r="A72" s="2"/>
      <c r="B72" s="2"/>
      <c r="C72" s="2"/>
      <c r="D72" s="2"/>
      <c r="E72" s="2"/>
      <c r="F72" s="2"/>
      <c r="G72" s="2"/>
      <c r="H72" s="2"/>
      <c r="I72" s="2"/>
      <c r="J72" s="2"/>
      <c r="K72" s="2"/>
      <c r="L72" s="2"/>
      <c r="M72" s="2"/>
      <c r="N72" s="2"/>
      <c r="O72" s="2"/>
      <c r="P72" s="2"/>
      <c r="Q72" s="2"/>
      <c r="R72" s="2"/>
      <c r="S72" s="2"/>
      <c r="T72" s="2"/>
      <c r="U72" s="2"/>
      <c r="V72" s="2"/>
      <c r="W72" s="2"/>
      <c r="X72" s="2"/>
      <c r="Y72" s="2"/>
      <c r="Z72" s="2"/>
    </row>
    <row r="73" spans="1:26">
      <c r="A73" s="2"/>
      <c r="B73" s="2"/>
      <c r="C73" s="2"/>
      <c r="D73" s="2"/>
      <c r="E73" s="2"/>
      <c r="F73" s="2"/>
      <c r="G73" s="2"/>
      <c r="H73" s="2"/>
      <c r="I73" s="2"/>
      <c r="J73" s="2"/>
      <c r="K73" s="2"/>
      <c r="L73" s="2"/>
      <c r="M73" s="2"/>
      <c r="N73" s="2"/>
      <c r="O73" s="2"/>
      <c r="P73" s="2"/>
      <c r="Q73" s="2"/>
      <c r="R73" s="2"/>
      <c r="S73" s="2"/>
      <c r="T73" s="2"/>
      <c r="U73" s="2"/>
      <c r="V73" s="2"/>
      <c r="W73" s="2"/>
      <c r="X73" s="2"/>
      <c r="Y73" s="2"/>
      <c r="Z73" s="2"/>
    </row>
    <row r="74" spans="1:26">
      <c r="A74" s="2"/>
      <c r="B74" s="2"/>
      <c r="C74" s="2"/>
      <c r="D74" s="2"/>
      <c r="E74" s="2"/>
      <c r="F74" s="2"/>
      <c r="G74" s="2"/>
      <c r="H74" s="2"/>
      <c r="I74" s="2"/>
      <c r="J74" s="2"/>
      <c r="K74" s="2"/>
      <c r="L74" s="2"/>
      <c r="M74" s="2"/>
      <c r="N74" s="2"/>
      <c r="O74" s="2"/>
      <c r="P74" s="2"/>
      <c r="Q74" s="2"/>
      <c r="R74" s="2"/>
      <c r="S74" s="2"/>
      <c r="T74" s="2"/>
      <c r="U74" s="2"/>
      <c r="V74" s="2"/>
      <c r="W74" s="2"/>
      <c r="X74" s="2"/>
      <c r="Y74" s="2"/>
      <c r="Z74" s="2"/>
    </row>
    <row r="75" spans="1:26">
      <c r="A75" s="2"/>
      <c r="B75" s="2"/>
      <c r="C75" s="2"/>
      <c r="D75" s="2"/>
      <c r="E75" s="2"/>
      <c r="F75" s="2"/>
      <c r="G75" s="2"/>
      <c r="H75" s="2"/>
      <c r="I75" s="2"/>
      <c r="J75" s="2"/>
      <c r="K75" s="2"/>
      <c r="L75" s="2"/>
      <c r="M75" s="2"/>
      <c r="N75" s="2"/>
      <c r="O75" s="2"/>
      <c r="P75" s="2"/>
      <c r="Q75" s="2"/>
      <c r="R75" s="2"/>
      <c r="S75" s="2"/>
      <c r="T75" s="2"/>
      <c r="U75" s="2"/>
      <c r="V75" s="2"/>
      <c r="W75" s="2"/>
      <c r="X75" s="2"/>
      <c r="Y75" s="2"/>
      <c r="Z75" s="2"/>
    </row>
    <row r="76" spans="1:26">
      <c r="A76" s="2"/>
      <c r="B76" s="2"/>
      <c r="C76" s="2"/>
      <c r="D76" s="2"/>
      <c r="E76" s="2"/>
      <c r="F76" s="2"/>
      <c r="G76" s="2"/>
      <c r="H76" s="2"/>
      <c r="I76" s="2"/>
      <c r="J76" s="2"/>
      <c r="K76" s="2"/>
      <c r="L76" s="2"/>
      <c r="M76" s="2"/>
      <c r="N76" s="2"/>
      <c r="O76" s="2"/>
      <c r="P76" s="2"/>
      <c r="Q76" s="2"/>
      <c r="R76" s="2"/>
      <c r="S76" s="2"/>
      <c r="T76" s="2"/>
      <c r="U76" s="2"/>
      <c r="V76" s="2"/>
      <c r="W76" s="2"/>
      <c r="X76" s="2"/>
      <c r="Y76" s="2"/>
      <c r="Z76" s="2"/>
    </row>
    <row r="77" spans="1:26">
      <c r="A77" s="2"/>
      <c r="B77" s="2"/>
      <c r="C77" s="2"/>
      <c r="D77" s="2"/>
      <c r="E77" s="2"/>
      <c r="F77" s="2"/>
      <c r="G77" s="2"/>
      <c r="H77" s="2"/>
      <c r="I77" s="2"/>
      <c r="J77" s="2"/>
      <c r="K77" s="2"/>
      <c r="L77" s="2"/>
      <c r="M77" s="2"/>
      <c r="N77" s="2"/>
      <c r="O77" s="2"/>
      <c r="P77" s="2"/>
      <c r="Q77" s="2"/>
      <c r="R77" s="2"/>
      <c r="S77" s="2"/>
      <c r="T77" s="2"/>
      <c r="U77" s="2"/>
      <c r="V77" s="2"/>
      <c r="W77" s="2"/>
      <c r="X77" s="2"/>
      <c r="Y77" s="2"/>
      <c r="Z77" s="2"/>
    </row>
    <row r="78" spans="1:26">
      <c r="A78" s="2"/>
      <c r="B78" s="2"/>
      <c r="C78" s="2"/>
      <c r="D78" s="2"/>
      <c r="E78" s="2"/>
      <c r="F78" s="2"/>
      <c r="G78" s="2"/>
      <c r="H78" s="2"/>
      <c r="I78" s="2"/>
      <c r="J78" s="2"/>
      <c r="K78" s="2"/>
      <c r="L78" s="2"/>
      <c r="M78" s="2"/>
      <c r="N78" s="2"/>
      <c r="O78" s="2"/>
      <c r="P78" s="2"/>
      <c r="Q78" s="2"/>
      <c r="R78" s="2"/>
      <c r="S78" s="2"/>
      <c r="T78" s="2"/>
      <c r="U78" s="2"/>
      <c r="V78" s="2"/>
      <c r="W78" s="2"/>
      <c r="X78" s="2"/>
      <c r="Y78" s="2"/>
      <c r="Z78" s="2"/>
    </row>
    <row r="79" spans="1:26">
      <c r="A79" s="2"/>
      <c r="B79" s="2"/>
      <c r="C79" s="2"/>
      <c r="D79" s="2"/>
      <c r="E79" s="2"/>
      <c r="F79" s="2"/>
      <c r="G79" s="2"/>
      <c r="H79" s="2"/>
      <c r="I79" s="2"/>
      <c r="J79" s="2"/>
      <c r="K79" s="2"/>
      <c r="L79" s="2"/>
      <c r="M79" s="2"/>
      <c r="N79" s="2"/>
      <c r="O79" s="2"/>
      <c r="P79" s="2"/>
      <c r="Q79" s="2"/>
      <c r="R79" s="2"/>
      <c r="S79" s="2"/>
      <c r="T79" s="2"/>
      <c r="U79" s="2"/>
      <c r="V79" s="2"/>
      <c r="W79" s="2"/>
      <c r="X79" s="2"/>
      <c r="Y79" s="2"/>
      <c r="Z79" s="2"/>
    </row>
    <row r="80" spans="1:26">
      <c r="A80" s="2"/>
      <c r="B80" s="2"/>
      <c r="C80" s="2"/>
      <c r="D80" s="2"/>
      <c r="E80" s="2"/>
      <c r="F80" s="2"/>
      <c r="G80" s="2"/>
      <c r="H80" s="2"/>
      <c r="I80" s="2"/>
      <c r="J80" s="2"/>
      <c r="K80" s="2"/>
      <c r="L80" s="2"/>
      <c r="M80" s="2"/>
      <c r="N80" s="2"/>
      <c r="O80" s="2"/>
      <c r="P80" s="2"/>
      <c r="Q80" s="2"/>
      <c r="R80" s="2"/>
      <c r="S80" s="2"/>
      <c r="T80" s="2"/>
      <c r="U80" s="2"/>
      <c r="V80" s="2"/>
      <c r="W80" s="2"/>
      <c r="X80" s="2"/>
      <c r="Y80" s="2"/>
      <c r="Z80" s="2"/>
    </row>
    <row r="81" spans="1:26">
      <c r="A81" s="2"/>
      <c r="B81" s="2"/>
      <c r="C81" s="2"/>
      <c r="D81" s="2"/>
      <c r="E81" s="2"/>
      <c r="F81" s="2"/>
      <c r="G81" s="2"/>
      <c r="H81" s="2"/>
      <c r="I81" s="2"/>
      <c r="J81" s="2"/>
      <c r="K81" s="2"/>
      <c r="L81" s="2"/>
      <c r="M81" s="2"/>
      <c r="N81" s="2"/>
      <c r="O81" s="2"/>
      <c r="P81" s="2"/>
      <c r="Q81" s="2"/>
      <c r="R81" s="2"/>
      <c r="S81" s="2"/>
      <c r="T81" s="2"/>
      <c r="U81" s="2"/>
      <c r="V81" s="2"/>
      <c r="W81" s="2"/>
      <c r="X81" s="2"/>
      <c r="Y81" s="2"/>
      <c r="Z81" s="2"/>
    </row>
    <row r="82" spans="1:26">
      <c r="A82" s="2"/>
      <c r="B82" s="2"/>
      <c r="C82" s="2"/>
      <c r="D82" s="2"/>
      <c r="E82" s="2"/>
      <c r="F82" s="2"/>
      <c r="G82" s="2"/>
      <c r="H82" s="2"/>
      <c r="I82" s="2"/>
      <c r="J82" s="2"/>
      <c r="K82" s="2"/>
      <c r="L82" s="2"/>
      <c r="M82" s="2"/>
      <c r="N82" s="2"/>
      <c r="O82" s="2"/>
      <c r="P82" s="2"/>
      <c r="Q82" s="2"/>
      <c r="R82" s="2"/>
      <c r="S82" s="2"/>
      <c r="T82" s="2"/>
      <c r="U82" s="2"/>
      <c r="V82" s="2"/>
      <c r="W82" s="2"/>
      <c r="X82" s="2"/>
      <c r="Y82" s="2"/>
      <c r="Z82" s="2"/>
    </row>
    <row r="83" spans="1:26">
      <c r="A83" s="2"/>
      <c r="B83" s="2"/>
      <c r="C83" s="2"/>
      <c r="D83" s="2"/>
      <c r="E83" s="2"/>
      <c r="F83" s="2"/>
      <c r="G83" s="2"/>
      <c r="H83" s="2"/>
      <c r="I83" s="2"/>
      <c r="J83" s="2"/>
      <c r="K83" s="2"/>
      <c r="L83" s="2"/>
      <c r="M83" s="2"/>
      <c r="N83" s="2"/>
      <c r="O83" s="2"/>
      <c r="P83" s="2"/>
      <c r="Q83" s="2"/>
      <c r="R83" s="2"/>
      <c r="S83" s="2"/>
      <c r="T83" s="2"/>
      <c r="U83" s="2"/>
      <c r="V83" s="2"/>
      <c r="W83" s="2"/>
      <c r="X83" s="2"/>
      <c r="Y83" s="2"/>
      <c r="Z83" s="2"/>
    </row>
    <row r="84" spans="1:26">
      <c r="A84" s="2"/>
      <c r="B84" s="2"/>
      <c r="C84" s="2"/>
      <c r="D84" s="2"/>
      <c r="E84" s="2"/>
      <c r="F84" s="2"/>
      <c r="G84" s="2"/>
      <c r="H84" s="2"/>
      <c r="I84" s="2"/>
      <c r="J84" s="2"/>
      <c r="K84" s="2"/>
      <c r="L84" s="2"/>
      <c r="M84" s="2"/>
      <c r="N84" s="2"/>
      <c r="O84" s="2"/>
      <c r="P84" s="2"/>
      <c r="Q84" s="2"/>
      <c r="R84" s="2"/>
      <c r="S84" s="2"/>
      <c r="T84" s="2"/>
      <c r="U84" s="2"/>
      <c r="V84" s="2"/>
      <c r="W84" s="2"/>
      <c r="X84" s="2"/>
      <c r="Y84" s="2"/>
      <c r="Z84" s="2"/>
    </row>
    <row r="85" spans="1:26">
      <c r="A85" s="2"/>
      <c r="B85" s="2"/>
      <c r="C85" s="2"/>
      <c r="D85" s="2"/>
      <c r="E85" s="2"/>
      <c r="F85" s="2"/>
      <c r="G85" s="2"/>
      <c r="H85" s="2"/>
      <c r="I85" s="2"/>
      <c r="J85" s="2"/>
      <c r="K85" s="2"/>
      <c r="L85" s="2"/>
      <c r="M85" s="2"/>
      <c r="N85" s="2"/>
      <c r="O85" s="2"/>
      <c r="P85" s="2"/>
      <c r="Q85" s="2"/>
      <c r="R85" s="2"/>
      <c r="S85" s="2"/>
      <c r="T85" s="2"/>
      <c r="U85" s="2"/>
      <c r="V85" s="2"/>
      <c r="W85" s="2"/>
      <c r="X85" s="2"/>
      <c r="Y85" s="2"/>
      <c r="Z85" s="2"/>
    </row>
    <row r="86" spans="1:26">
      <c r="A86" s="2"/>
      <c r="B86" s="2"/>
      <c r="C86" s="2"/>
      <c r="D86" s="2"/>
      <c r="E86" s="2"/>
      <c r="F86" s="2"/>
      <c r="G86" s="2"/>
      <c r="H86" s="2"/>
      <c r="I86" s="2"/>
      <c r="J86" s="2"/>
      <c r="K86" s="2"/>
      <c r="L86" s="2"/>
      <c r="M86" s="2"/>
      <c r="N86" s="2"/>
      <c r="O86" s="2"/>
      <c r="P86" s="2"/>
      <c r="Q86" s="2"/>
      <c r="R86" s="2"/>
      <c r="S86" s="2"/>
      <c r="T86" s="2"/>
      <c r="U86" s="2"/>
      <c r="V86" s="2"/>
      <c r="W86" s="2"/>
      <c r="X86" s="2"/>
      <c r="Y86" s="2"/>
      <c r="Z86" s="2"/>
    </row>
    <row r="87" spans="1:26">
      <c r="A87" s="2"/>
      <c r="B87" s="2"/>
      <c r="C87" s="2"/>
      <c r="D87" s="2"/>
      <c r="E87" s="2"/>
      <c r="F87" s="2"/>
      <c r="G87" s="2"/>
      <c r="H87" s="2"/>
      <c r="I87" s="2"/>
      <c r="J87" s="2"/>
      <c r="K87" s="2"/>
      <c r="L87" s="2"/>
      <c r="M87" s="2"/>
      <c r="N87" s="2"/>
      <c r="O87" s="2"/>
      <c r="P87" s="2"/>
      <c r="Q87" s="2"/>
      <c r="R87" s="2"/>
      <c r="S87" s="2"/>
      <c r="T87" s="2"/>
      <c r="U87" s="2"/>
      <c r="V87" s="2"/>
      <c r="W87" s="2"/>
      <c r="X87" s="2"/>
      <c r="Y87" s="2"/>
      <c r="Z87" s="2"/>
    </row>
    <row r="88" spans="1:26">
      <c r="A88" s="2"/>
      <c r="B88" s="2"/>
      <c r="C88" s="2"/>
      <c r="D88" s="2"/>
      <c r="E88" s="2"/>
      <c r="F88" s="2"/>
      <c r="G88" s="2"/>
      <c r="H88" s="2"/>
      <c r="I88" s="2"/>
      <c r="J88" s="2"/>
      <c r="K88" s="2"/>
      <c r="L88" s="2"/>
      <c r="M88" s="2"/>
      <c r="N88" s="2"/>
      <c r="O88" s="2"/>
      <c r="P88" s="2"/>
      <c r="Q88" s="2"/>
      <c r="R88" s="2"/>
      <c r="S88" s="2"/>
      <c r="T88" s="2"/>
      <c r="U88" s="2"/>
      <c r="V88" s="2"/>
      <c r="W88" s="2"/>
      <c r="X88" s="2"/>
      <c r="Y88" s="2"/>
      <c r="Z88" s="2"/>
    </row>
    <row r="89" spans="1:26">
      <c r="A89" s="2"/>
      <c r="B89" s="2"/>
      <c r="C89" s="2"/>
      <c r="D89" s="2"/>
      <c r="E89" s="2"/>
      <c r="F89" s="2"/>
      <c r="G89" s="2"/>
      <c r="H89" s="2"/>
      <c r="I89" s="2"/>
      <c r="J89" s="2"/>
      <c r="K89" s="2"/>
      <c r="L89" s="2"/>
      <c r="M89" s="2"/>
      <c r="N89" s="2"/>
      <c r="O89" s="2"/>
      <c r="P89" s="2"/>
      <c r="Q89" s="2"/>
      <c r="R89" s="2"/>
      <c r="S89" s="2"/>
      <c r="T89" s="2"/>
      <c r="U89" s="2"/>
      <c r="V89" s="2"/>
      <c r="W89" s="2"/>
      <c r="X89" s="2"/>
      <c r="Y89" s="2"/>
      <c r="Z89" s="2"/>
    </row>
    <row r="90" spans="1:26">
      <c r="A90" s="2"/>
      <c r="B90" s="2"/>
      <c r="C90" s="2"/>
      <c r="D90" s="2"/>
      <c r="E90" s="2"/>
      <c r="F90" s="2"/>
      <c r="G90" s="2"/>
      <c r="H90" s="2"/>
      <c r="I90" s="2"/>
      <c r="J90" s="2"/>
      <c r="K90" s="2"/>
      <c r="L90" s="2"/>
      <c r="M90" s="2"/>
      <c r="N90" s="2"/>
      <c r="O90" s="2"/>
      <c r="P90" s="2"/>
      <c r="Q90" s="2"/>
      <c r="R90" s="2"/>
      <c r="S90" s="2"/>
      <c r="T90" s="2"/>
      <c r="U90" s="2"/>
      <c r="V90" s="2"/>
      <c r="W90" s="2"/>
      <c r="X90" s="2"/>
      <c r="Y90" s="2"/>
      <c r="Z90" s="2"/>
    </row>
    <row r="91" spans="1:26">
      <c r="A91" s="2"/>
      <c r="B91" s="2"/>
      <c r="C91" s="2"/>
      <c r="D91" s="2"/>
      <c r="E91" s="2"/>
      <c r="F91" s="2"/>
      <c r="G91" s="2"/>
      <c r="H91" s="2"/>
      <c r="I91" s="2"/>
      <c r="J91" s="2"/>
      <c r="K91" s="2"/>
      <c r="L91" s="2"/>
      <c r="M91" s="2"/>
      <c r="N91" s="2"/>
      <c r="O91" s="2"/>
      <c r="P91" s="2"/>
      <c r="Q91" s="2"/>
      <c r="R91" s="2"/>
      <c r="S91" s="2"/>
      <c r="T91" s="2"/>
      <c r="U91" s="2"/>
      <c r="V91" s="2"/>
      <c r="W91" s="2"/>
      <c r="X91" s="2"/>
      <c r="Y91" s="2"/>
      <c r="Z91" s="2"/>
    </row>
    <row r="92" spans="1:26">
      <c r="A92" s="2"/>
      <c r="B92" s="2"/>
      <c r="C92" s="2"/>
      <c r="D92" s="2"/>
      <c r="E92" s="2"/>
      <c r="F92" s="2"/>
      <c r="G92" s="2"/>
      <c r="H92" s="2"/>
      <c r="I92" s="2"/>
      <c r="J92" s="2"/>
      <c r="K92" s="2"/>
      <c r="L92" s="2"/>
      <c r="M92" s="2"/>
      <c r="N92" s="2"/>
      <c r="O92" s="2"/>
      <c r="P92" s="2"/>
      <c r="Q92" s="2"/>
      <c r="R92" s="2"/>
      <c r="S92" s="2"/>
      <c r="T92" s="2"/>
      <c r="U92" s="2"/>
      <c r="V92" s="2"/>
      <c r="W92" s="2"/>
      <c r="X92" s="2"/>
      <c r="Y92" s="2"/>
      <c r="Z92" s="2"/>
    </row>
    <row r="93" spans="1:26">
      <c r="A93" s="2"/>
      <c r="B93" s="2"/>
      <c r="C93" s="2"/>
      <c r="D93" s="2"/>
      <c r="E93" s="2"/>
      <c r="F93" s="2"/>
      <c r="G93" s="2"/>
      <c r="H93" s="2"/>
      <c r="I93" s="2"/>
      <c r="J93" s="2"/>
      <c r="K93" s="2"/>
      <c r="L93" s="2"/>
      <c r="M93" s="2"/>
      <c r="N93" s="2"/>
      <c r="O93" s="2"/>
      <c r="P93" s="2"/>
      <c r="Q93" s="2"/>
      <c r="R93" s="2"/>
      <c r="S93" s="2"/>
      <c r="T93" s="2"/>
      <c r="U93" s="2"/>
      <c r="V93" s="2"/>
      <c r="W93" s="2"/>
      <c r="X93" s="2"/>
      <c r="Y93" s="2"/>
      <c r="Z93" s="2"/>
    </row>
    <row r="94" spans="1:26">
      <c r="A94" s="2"/>
      <c r="B94" s="2"/>
      <c r="C94" s="2"/>
      <c r="D94" s="2"/>
      <c r="E94" s="2"/>
      <c r="F94" s="2"/>
      <c r="G94" s="2"/>
      <c r="H94" s="2"/>
      <c r="I94" s="2"/>
      <c r="J94" s="2"/>
      <c r="K94" s="2"/>
      <c r="L94" s="2"/>
      <c r="M94" s="2"/>
      <c r="N94" s="2"/>
      <c r="O94" s="2"/>
      <c r="P94" s="2"/>
      <c r="Q94" s="2"/>
      <c r="R94" s="2"/>
      <c r="S94" s="2"/>
      <c r="T94" s="2"/>
      <c r="U94" s="2"/>
      <c r="V94" s="2"/>
      <c r="W94" s="2"/>
      <c r="X94" s="2"/>
      <c r="Y94" s="2"/>
      <c r="Z94" s="2"/>
    </row>
    <row r="95" spans="1:26">
      <c r="A95" s="2"/>
      <c r="B95" s="2"/>
      <c r="C95" s="2"/>
      <c r="D95" s="2"/>
      <c r="E95" s="2"/>
      <c r="F95" s="2"/>
      <c r="G95" s="2"/>
      <c r="H95" s="2"/>
      <c r="I95" s="2"/>
      <c r="J95" s="2"/>
      <c r="K95" s="2"/>
      <c r="L95" s="2"/>
      <c r="M95" s="2"/>
      <c r="N95" s="2"/>
      <c r="O95" s="2"/>
      <c r="P95" s="2"/>
      <c r="Q95" s="2"/>
      <c r="R95" s="2"/>
      <c r="S95" s="2"/>
      <c r="T95" s="2"/>
      <c r="U95" s="2"/>
      <c r="V95" s="2"/>
      <c r="W95" s="2"/>
      <c r="X95" s="2"/>
      <c r="Y95" s="2"/>
      <c r="Z95" s="2"/>
    </row>
    <row r="96" spans="1:26">
      <c r="A96" s="2"/>
      <c r="B96" s="2"/>
      <c r="C96" s="2"/>
      <c r="D96" s="2"/>
      <c r="E96" s="2"/>
      <c r="F96" s="2"/>
      <c r="G96" s="2"/>
      <c r="H96" s="2"/>
      <c r="I96" s="2"/>
      <c r="J96" s="2"/>
      <c r="K96" s="2"/>
      <c r="L96" s="2"/>
      <c r="M96" s="2"/>
      <c r="N96" s="2"/>
      <c r="O96" s="2"/>
      <c r="P96" s="2"/>
      <c r="Q96" s="2"/>
      <c r="R96" s="2"/>
      <c r="S96" s="2"/>
      <c r="T96" s="2"/>
      <c r="U96" s="2"/>
      <c r="V96" s="2"/>
      <c r="W96" s="2"/>
      <c r="X96" s="2"/>
      <c r="Y96" s="2"/>
      <c r="Z96" s="2"/>
    </row>
    <row r="97" spans="1:26">
      <c r="A97" s="2"/>
      <c r="B97" s="2"/>
      <c r="C97" s="2"/>
      <c r="D97" s="2"/>
      <c r="E97" s="2"/>
      <c r="F97" s="2"/>
      <c r="G97" s="2"/>
      <c r="H97" s="2"/>
      <c r="I97" s="2"/>
      <c r="J97" s="2"/>
      <c r="K97" s="2"/>
      <c r="L97" s="2"/>
      <c r="M97" s="2"/>
      <c r="N97" s="2"/>
      <c r="O97" s="2"/>
      <c r="P97" s="2"/>
      <c r="Q97" s="2"/>
      <c r="R97" s="2"/>
      <c r="S97" s="2"/>
      <c r="T97" s="2"/>
      <c r="U97" s="2"/>
      <c r="V97" s="2"/>
      <c r="W97" s="2"/>
      <c r="X97" s="2"/>
      <c r="Y97" s="2"/>
      <c r="Z97" s="2"/>
    </row>
    <row r="98" spans="1:26">
      <c r="A98" s="2"/>
      <c r="B98" s="2"/>
      <c r="C98" s="2"/>
      <c r="D98" s="2"/>
      <c r="E98" s="2"/>
      <c r="F98" s="2"/>
      <c r="G98" s="2"/>
      <c r="H98" s="2"/>
      <c r="I98" s="2"/>
      <c r="J98" s="2"/>
      <c r="K98" s="2"/>
      <c r="L98" s="2"/>
      <c r="M98" s="2"/>
      <c r="N98" s="2"/>
      <c r="O98" s="2"/>
      <c r="P98" s="2"/>
      <c r="Q98" s="2"/>
      <c r="R98" s="2"/>
      <c r="S98" s="2"/>
      <c r="T98" s="2"/>
      <c r="U98" s="2"/>
      <c r="V98" s="2"/>
      <c r="W98" s="2"/>
      <c r="X98" s="2"/>
      <c r="Y98" s="2"/>
      <c r="Z98" s="2"/>
    </row>
    <row r="99" spans="1:26">
      <c r="A99" s="2"/>
      <c r="B99" s="2"/>
      <c r="C99" s="2"/>
      <c r="D99" s="2"/>
      <c r="E99" s="2"/>
      <c r="F99" s="2"/>
      <c r="G99" s="2"/>
      <c r="H99" s="2"/>
      <c r="I99" s="2"/>
      <c r="J99" s="2"/>
      <c r="K99" s="2"/>
      <c r="L99" s="2"/>
      <c r="M99" s="2"/>
      <c r="N99" s="2"/>
      <c r="O99" s="2"/>
      <c r="P99" s="2"/>
      <c r="Q99" s="2"/>
      <c r="R99" s="2"/>
      <c r="S99" s="2"/>
      <c r="T99" s="2"/>
      <c r="U99" s="2"/>
      <c r="V99" s="2"/>
      <c r="W99" s="2"/>
      <c r="X99" s="2"/>
      <c r="Y99" s="2"/>
      <c r="Z99" s="2"/>
    </row>
    <row r="100" spans="1:26">
      <c r="A100" s="2"/>
      <c r="B100" s="2"/>
      <c r="C100" s="2"/>
      <c r="D100" s="2"/>
      <c r="E100" s="2"/>
      <c r="F100" s="2"/>
      <c r="G100" s="2"/>
      <c r="H100" s="2"/>
      <c r="I100" s="2"/>
      <c r="J100" s="2"/>
      <c r="K100" s="2"/>
      <c r="L100" s="2"/>
      <c r="M100" s="2"/>
      <c r="N100" s="2"/>
      <c r="O100" s="2"/>
      <c r="P100" s="2"/>
      <c r="Q100" s="2"/>
      <c r="R100" s="2"/>
      <c r="S100" s="2"/>
      <c r="T100" s="2"/>
      <c r="U100" s="2"/>
      <c r="V100" s="2"/>
      <c r="W100" s="2"/>
      <c r="X100" s="2"/>
      <c r="Y100" s="2"/>
      <c r="Z100" s="2"/>
    </row>
  </sheetData>
  <mergeCells count="15">
    <mergeCell ref="A4:B4"/>
    <mergeCell ref="C4:D4"/>
    <mergeCell ref="E4:F4"/>
    <mergeCell ref="G4:H4"/>
    <mergeCell ref="I4:J4"/>
    <mergeCell ref="A8:F8"/>
    <mergeCell ref="F8:J8"/>
    <mergeCell ref="A17:J17"/>
    <mergeCell ref="A1:J2"/>
    <mergeCell ref="A5:B6"/>
    <mergeCell ref="C5:D6"/>
    <mergeCell ref="E5:F6"/>
    <mergeCell ref="G5:H6"/>
    <mergeCell ref="I5:J6"/>
    <mergeCell ref="F9:J15"/>
  </mergeCells>
  <conditionalFormatting sqref="D10:D15">
    <cfRule type="dataBar" priority="1">
      <dataBar>
        <cfvo type="min"/>
        <cfvo type="max"/>
        <color rgb="FF4F81BD"/>
      </dataBar>
      <extLst>
        <ext xmlns:x14="http://schemas.microsoft.com/office/spreadsheetml/2009/9/main" uri="{B025F937-C7B1-47D3-B67F-A62EFF666E3E}">
          <x14:id>{e1429183-8d33-43b2-aba8-c077fc441467}</x14:id>
        </ext>
      </extLst>
    </cfRule>
  </conditionalFormatting>
  <pageMargins left="0.7" right="0.7" top="0.75" bottom="0.75" header="0.3" footer="0.3"/>
  <headerFooter/>
  <drawing r:id="rId1"/>
  <extLst>
    <ext xmlns:x14="http://schemas.microsoft.com/office/spreadsheetml/2009/9/main" uri="{78C0D931-6437-407d-A8EE-F0AAD7539E65}">
      <x14:conditionalFormattings>
        <x14:conditionalFormatting xmlns:xm="http://schemas.microsoft.com/office/excel/2006/main">
          <x14:cfRule type="dataBar" id="{e1429183-8d33-43b2-aba8-c077fc441467}">
            <x14:dataBar minLength="10" maxLength="90" negativeBarColorSameAsPositive="1">
              <x14:cfvo type="min"/>
              <x14:cfvo type="max"/>
              <x14:axisColor indexed="65"/>
            </x14:dataBar>
          </x14:cfRule>
          <xm:sqref>D10:D15</xm:sqref>
        </x14:conditionalFormatting>
      </x14:conditionalFormattings>
    </ext>
  </extLst>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O31"/>
  <sheetViews>
    <sheetView workbookViewId="0">
      <selection activeCell="A1" sqref="A1"/>
    </sheetView>
  </sheetViews>
  <sheetFormatPr defaultColWidth="9" defaultRowHeight="14.25"/>
  <cols>
    <col min="1" max="2" width="16" customWidth="1"/>
    <col min="3" max="3" width="34" customWidth="1"/>
    <col min="4" max="4" width="9" customWidth="1"/>
    <col min="5" max="6" width="22" customWidth="1"/>
    <col min="7" max="7" width="35" customWidth="1"/>
    <col min="8" max="8" width="14" customWidth="1"/>
    <col min="9" max="9" width="15" customWidth="1"/>
    <col min="10" max="12" width="12" customWidth="1"/>
    <col min="13" max="13" width="48" customWidth="1"/>
    <col min="14" max="15" width="28" customWidth="1"/>
  </cols>
  <sheetData>
    <row r="1" ht="15" spans="1:15">
      <c r="A1" s="8" t="s">
        <v>90</v>
      </c>
      <c r="B1" s="8" t="s">
        <v>74</v>
      </c>
      <c r="C1" s="8" t="s">
        <v>91</v>
      </c>
      <c r="D1" s="8" t="s">
        <v>92</v>
      </c>
      <c r="E1" s="8" t="s">
        <v>93</v>
      </c>
      <c r="F1" s="8" t="s">
        <v>94</v>
      </c>
      <c r="G1" s="8" t="s">
        <v>95</v>
      </c>
      <c r="H1" s="8" t="s">
        <v>86</v>
      </c>
      <c r="I1" s="8" t="s">
        <v>87</v>
      </c>
      <c r="J1" s="8" t="s">
        <v>96</v>
      </c>
      <c r="K1" s="8" t="s">
        <v>97</v>
      </c>
      <c r="L1" s="8" t="s">
        <v>98</v>
      </c>
      <c r="M1" s="8" t="s">
        <v>99</v>
      </c>
      <c r="N1" s="8" t="s">
        <v>30</v>
      </c>
      <c r="O1" s="8" t="s">
        <v>100</v>
      </c>
    </row>
    <row r="2" ht="57" spans="1:15">
      <c r="A2" s="9" t="s">
        <v>101</v>
      </c>
      <c r="B2" s="9" t="s">
        <v>79</v>
      </c>
      <c r="C2" s="9" t="s">
        <v>102</v>
      </c>
      <c r="D2" s="9" t="s">
        <v>103</v>
      </c>
      <c r="E2" s="9" t="s">
        <v>104</v>
      </c>
      <c r="F2" s="9" t="s">
        <v>81</v>
      </c>
      <c r="G2" s="9" t="s">
        <v>49</v>
      </c>
      <c r="H2" s="9" t="s">
        <v>105</v>
      </c>
      <c r="I2" s="9" t="s">
        <v>106</v>
      </c>
      <c r="J2" s="10">
        <f t="shared" ref="J2:J31" si="0">IF(I2="Done",1,IF(I2="Testing",0.9,IF(I2="Code Review",0.8,IF(I2="In Progress",0.5,IF(I2="Blocked",0.25,0)))))</f>
        <v>0</v>
      </c>
      <c r="K2" s="11"/>
      <c r="L2" s="11"/>
      <c r="M2" s="9" t="s">
        <v>107</v>
      </c>
      <c r="N2" s="9" t="s">
        <v>108</v>
      </c>
      <c r="O2" s="9"/>
    </row>
    <row r="3" ht="57" spans="1:15">
      <c r="A3" s="9" t="s">
        <v>109</v>
      </c>
      <c r="B3" s="9" t="s">
        <v>79</v>
      </c>
      <c r="C3" s="9" t="s">
        <v>110</v>
      </c>
      <c r="D3" s="9" t="s">
        <v>103</v>
      </c>
      <c r="E3" s="9" t="s">
        <v>104</v>
      </c>
      <c r="F3" s="9" t="s">
        <v>111</v>
      </c>
      <c r="G3" s="9" t="s">
        <v>101</v>
      </c>
      <c r="H3" s="9" t="s">
        <v>105</v>
      </c>
      <c r="I3" s="9" t="s">
        <v>106</v>
      </c>
      <c r="J3" s="10">
        <f t="shared" si="0"/>
        <v>0</v>
      </c>
      <c r="K3" s="11"/>
      <c r="L3" s="11"/>
      <c r="M3" s="9" t="s">
        <v>112</v>
      </c>
      <c r="N3" s="9"/>
      <c r="O3" s="9"/>
    </row>
    <row r="4" ht="71.25" spans="1:15">
      <c r="A4" s="9" t="s">
        <v>113</v>
      </c>
      <c r="B4" s="9" t="s">
        <v>79</v>
      </c>
      <c r="C4" s="9" t="s">
        <v>114</v>
      </c>
      <c r="D4" s="9" t="s">
        <v>103</v>
      </c>
      <c r="E4" s="9" t="s">
        <v>81</v>
      </c>
      <c r="F4" s="9" t="s">
        <v>104</v>
      </c>
      <c r="G4" s="9" t="s">
        <v>101</v>
      </c>
      <c r="H4" s="9" t="s">
        <v>105</v>
      </c>
      <c r="I4" s="9" t="s">
        <v>106</v>
      </c>
      <c r="J4" s="10">
        <f t="shared" si="0"/>
        <v>0</v>
      </c>
      <c r="K4" s="11"/>
      <c r="L4" s="11"/>
      <c r="M4" s="9" t="s">
        <v>115</v>
      </c>
      <c r="N4" s="9" t="s">
        <v>116</v>
      </c>
      <c r="O4" s="9"/>
    </row>
    <row r="5" ht="57" spans="1:15">
      <c r="A5" s="9" t="s">
        <v>117</v>
      </c>
      <c r="B5" s="9" t="s">
        <v>79</v>
      </c>
      <c r="C5" s="9" t="s">
        <v>118</v>
      </c>
      <c r="D5" s="9" t="s">
        <v>103</v>
      </c>
      <c r="E5" s="9" t="s">
        <v>119</v>
      </c>
      <c r="F5" s="9" t="s">
        <v>120</v>
      </c>
      <c r="G5" s="9" t="s">
        <v>101</v>
      </c>
      <c r="H5" s="9" t="s">
        <v>105</v>
      </c>
      <c r="I5" s="9" t="s">
        <v>106</v>
      </c>
      <c r="J5" s="10">
        <f t="shared" si="0"/>
        <v>0</v>
      </c>
      <c r="K5" s="11"/>
      <c r="L5" s="11"/>
      <c r="M5" s="9" t="s">
        <v>121</v>
      </c>
      <c r="N5" s="9"/>
      <c r="O5" s="9"/>
    </row>
    <row r="6" ht="99.75" spans="1:15">
      <c r="A6" s="9" t="s">
        <v>122</v>
      </c>
      <c r="B6" s="9" t="s">
        <v>79</v>
      </c>
      <c r="C6" s="9" t="s">
        <v>123</v>
      </c>
      <c r="D6" s="9" t="s">
        <v>103</v>
      </c>
      <c r="E6" s="9" t="s">
        <v>329</v>
      </c>
      <c r="F6" s="9" t="s">
        <v>120</v>
      </c>
      <c r="G6" s="9" t="s">
        <v>49</v>
      </c>
      <c r="H6" s="9" t="s">
        <v>105</v>
      </c>
      <c r="I6" s="9" t="s">
        <v>124</v>
      </c>
      <c r="J6" s="10">
        <f t="shared" si="0"/>
        <v>0.8</v>
      </c>
      <c r="K6" s="11"/>
      <c r="L6" s="11"/>
      <c r="M6" s="9" t="s">
        <v>125</v>
      </c>
      <c r="N6" s="9" t="s">
        <v>126</v>
      </c>
      <c r="O6" s="9"/>
    </row>
    <row r="7" ht="60.0" customHeight="1" spans="1:15">
      <c r="A7" s="9" t="s">
        <v>330</v>
      </c>
      <c r="B7" s="9" t="s">
        <v>331</v>
      </c>
      <c r="C7" s="9" t="s">
        <v>332</v>
      </c>
      <c r="D7" s="9" t="s">
        <v>333</v>
      </c>
      <c r="E7" s="9" t="s">
        <v>334</v>
      </c>
      <c r="F7" s="9" t="s">
        <v>335</v>
      </c>
      <c r="G7" s="9" t="s">
        <v>336</v>
      </c>
      <c r="H7" s="9" t="s">
        <v>337</v>
      </c>
      <c r="I7" s="9" t="s">
        <v>338</v>
      </c>
      <c r="J7" s="10">
        <f t="shared" si="0"/>
        <v>0.8</v>
      </c>
      <c r="K7" s="11">
        <v>46301</v>
      </c>
      <c r="L7" s="11">
        <v>46302</v>
      </c>
      <c r="M7" s="9" t="s">
        <v>339</v>
      </c>
      <c r="N7" s="9" t="s">
        <v>340</v>
      </c>
      <c r="O7" s="9"/>
    </row>
    <row r="8" ht="42.75" spans="1:15">
      <c r="A8" s="9" t="s">
        <v>127</v>
      </c>
      <c r="B8" s="9" t="s">
        <v>80</v>
      </c>
      <c r="C8" s="9" t="s">
        <v>128</v>
      </c>
      <c r="D8" s="9" t="s">
        <v>103</v>
      </c>
      <c r="E8" s="9" t="s">
        <v>80</v>
      </c>
      <c r="F8" s="9" t="s">
        <v>81</v>
      </c>
      <c r="G8" s="9" t="s">
        <v>117</v>
      </c>
      <c r="H8" s="9" t="s">
        <v>129</v>
      </c>
      <c r="I8" s="9" t="s">
        <v>106</v>
      </c>
      <c r="J8" s="10">
        <f t="shared" si="0"/>
        <v>0</v>
      </c>
      <c r="K8" s="11"/>
      <c r="L8" s="11"/>
      <c r="M8" s="9" t="s">
        <v>130</v>
      </c>
      <c r="N8" s="9"/>
      <c r="O8" s="9"/>
    </row>
    <row r="9" ht="42.75" spans="1:15">
      <c r="A9" s="9" t="s">
        <v>131</v>
      </c>
      <c r="B9" s="9" t="s">
        <v>80</v>
      </c>
      <c r="C9" s="9" t="s">
        <v>132</v>
      </c>
      <c r="D9" s="9" t="s">
        <v>103</v>
      </c>
      <c r="E9" s="9" t="s">
        <v>80</v>
      </c>
      <c r="F9" s="9" t="s">
        <v>81</v>
      </c>
      <c r="G9" s="9" t="s">
        <v>133</v>
      </c>
      <c r="H9" s="9" t="s">
        <v>129</v>
      </c>
      <c r="I9" s="9" t="s">
        <v>106</v>
      </c>
      <c r="J9" s="10">
        <f t="shared" si="0"/>
        <v>0</v>
      </c>
      <c r="K9" s="11"/>
      <c r="L9" s="11"/>
      <c r="M9" s="9" t="s">
        <v>134</v>
      </c>
      <c r="N9" s="9"/>
      <c r="O9" s="9"/>
    </row>
    <row r="10" ht="42.75" spans="1:15">
      <c r="A10" s="9" t="s">
        <v>135</v>
      </c>
      <c r="B10" s="9" t="s">
        <v>80</v>
      </c>
      <c r="C10" s="9" t="s">
        <v>136</v>
      </c>
      <c r="D10" s="9" t="s">
        <v>103</v>
      </c>
      <c r="E10" s="9" t="s">
        <v>80</v>
      </c>
      <c r="F10" s="9" t="s">
        <v>81</v>
      </c>
      <c r="G10" s="9" t="s">
        <v>137</v>
      </c>
      <c r="H10" s="9" t="s">
        <v>129</v>
      </c>
      <c r="I10" s="9" t="s">
        <v>106</v>
      </c>
      <c r="J10" s="10">
        <f t="shared" si="0"/>
        <v>0</v>
      </c>
      <c r="K10" s="11"/>
      <c r="L10" s="11"/>
      <c r="M10" s="9" t="s">
        <v>138</v>
      </c>
      <c r="N10" s="9" t="s">
        <v>139</v>
      </c>
      <c r="O10" s="9"/>
    </row>
    <row r="11" ht="85.5" spans="1:15">
      <c r="A11" s="9" t="s">
        <v>140</v>
      </c>
      <c r="B11" s="9" t="s">
        <v>80</v>
      </c>
      <c r="C11" s="9" t="s">
        <v>141</v>
      </c>
      <c r="D11" s="9" t="s">
        <v>103</v>
      </c>
      <c r="E11" s="9" t="s">
        <v>80</v>
      </c>
      <c r="F11" s="9" t="s">
        <v>82</v>
      </c>
      <c r="G11" s="9" t="s">
        <v>142</v>
      </c>
      <c r="H11" s="9" t="s">
        <v>129</v>
      </c>
      <c r="I11" s="9" t="s">
        <v>106</v>
      </c>
      <c r="J11" s="10">
        <f t="shared" si="0"/>
        <v>0</v>
      </c>
      <c r="K11" s="11"/>
      <c r="L11" s="11"/>
      <c r="M11" s="9" t="s">
        <v>143</v>
      </c>
      <c r="N11" s="9"/>
      <c r="O11" s="9"/>
    </row>
    <row r="12" ht="28.5" spans="1:15">
      <c r="A12" s="9" t="s">
        <v>144</v>
      </c>
      <c r="B12" s="9" t="s">
        <v>80</v>
      </c>
      <c r="C12" s="9" t="s">
        <v>145</v>
      </c>
      <c r="D12" s="9" t="s">
        <v>146</v>
      </c>
      <c r="E12" s="9" t="s">
        <v>80</v>
      </c>
      <c r="F12" s="9" t="s">
        <v>81</v>
      </c>
      <c r="G12" s="9" t="s">
        <v>117</v>
      </c>
      <c r="H12" s="9" t="s">
        <v>129</v>
      </c>
      <c r="I12" s="9" t="s">
        <v>106</v>
      </c>
      <c r="J12" s="10">
        <f t="shared" si="0"/>
        <v>0</v>
      </c>
      <c r="K12" s="11"/>
      <c r="L12" s="11"/>
      <c r="M12" s="9" t="s">
        <v>147</v>
      </c>
      <c r="N12" s="9"/>
      <c r="O12" s="9"/>
    </row>
    <row r="13" ht="114.0" spans="1:15">
      <c r="A13" s="9" t="s">
        <v>148</v>
      </c>
      <c r="B13" s="9" t="s">
        <v>80</v>
      </c>
      <c r="C13" s="9" t="s">
        <v>149</v>
      </c>
      <c r="D13" s="9" t="s">
        <v>103</v>
      </c>
      <c r="E13" s="9" t="s">
        <v>80</v>
      </c>
      <c r="F13" s="9" t="s">
        <v>81</v>
      </c>
      <c r="G13" s="9" t="s">
        <v>137</v>
      </c>
      <c r="H13" s="9" t="s">
        <v>129</v>
      </c>
      <c r="I13" s="9" t="s">
        <v>106</v>
      </c>
      <c r="J13" s="10">
        <f t="shared" si="0"/>
        <v>0</v>
      </c>
      <c r="K13" s="11"/>
      <c r="L13" s="11"/>
      <c r="M13" s="9" t="s">
        <v>150</v>
      </c>
      <c r="N13" s="9" t="s">
        <v>151</v>
      </c>
      <c r="O13" s="9"/>
    </row>
    <row r="14" ht="85.5" spans="1:15">
      <c r="A14" s="9" t="s">
        <v>152</v>
      </c>
      <c r="B14" s="9" t="s">
        <v>80</v>
      </c>
      <c r="C14" s="9" t="s">
        <v>153</v>
      </c>
      <c r="D14" s="9" t="s">
        <v>103</v>
      </c>
      <c r="E14" s="9" t="s">
        <v>80</v>
      </c>
      <c r="F14" s="9" t="s">
        <v>83</v>
      </c>
      <c r="G14" s="9" t="s">
        <v>154</v>
      </c>
      <c r="H14" s="9" t="s">
        <v>129</v>
      </c>
      <c r="I14" s="9" t="s">
        <v>106</v>
      </c>
      <c r="J14" s="10">
        <f t="shared" si="0"/>
        <v>0</v>
      </c>
      <c r="K14" s="11"/>
      <c r="L14" s="11"/>
      <c r="M14" s="9" t="s">
        <v>155</v>
      </c>
      <c r="N14" s="9" t="s">
        <v>156</v>
      </c>
      <c r="O14" s="9"/>
    </row>
    <row r="15" ht="71.25" spans="1:15">
      <c r="A15" s="9" t="s">
        <v>157</v>
      </c>
      <c r="B15" s="9" t="s">
        <v>81</v>
      </c>
      <c r="C15" s="9" t="s">
        <v>158</v>
      </c>
      <c r="D15" s="9" t="s">
        <v>103</v>
      </c>
      <c r="E15" s="9" t="s">
        <v>81</v>
      </c>
      <c r="F15" s="9" t="s">
        <v>104</v>
      </c>
      <c r="G15" s="9" t="s">
        <v>101</v>
      </c>
      <c r="H15" s="9" t="s">
        <v>129</v>
      </c>
      <c r="I15" s="9" t="s">
        <v>106</v>
      </c>
      <c r="J15" s="10">
        <f t="shared" si="0"/>
        <v>0</v>
      </c>
      <c r="K15" s="11"/>
      <c r="L15" s="11"/>
      <c r="M15" s="9" t="s">
        <v>159</v>
      </c>
      <c r="N15" s="9" t="s">
        <v>160</v>
      </c>
      <c r="O15" s="9"/>
    </row>
    <row r="16" ht="42.75" spans="1:15">
      <c r="A16" s="9" t="s">
        <v>161</v>
      </c>
      <c r="B16" s="9" t="s">
        <v>81</v>
      </c>
      <c r="C16" s="9" t="s">
        <v>162</v>
      </c>
      <c r="D16" s="9" t="s">
        <v>146</v>
      </c>
      <c r="E16" s="9" t="s">
        <v>81</v>
      </c>
      <c r="F16" s="9" t="s">
        <v>104</v>
      </c>
      <c r="G16" s="9" t="s">
        <v>101</v>
      </c>
      <c r="H16" s="9" t="s">
        <v>129</v>
      </c>
      <c r="I16" s="9" t="s">
        <v>106</v>
      </c>
      <c r="J16" s="10">
        <f t="shared" si="0"/>
        <v>0</v>
      </c>
      <c r="K16" s="11"/>
      <c r="L16" s="11"/>
      <c r="M16" s="9" t="s">
        <v>163</v>
      </c>
      <c r="N16" s="9" t="s">
        <v>164</v>
      </c>
      <c r="O16" s="9"/>
    </row>
    <row r="17" ht="42.75" spans="1:15">
      <c r="A17" s="9" t="s">
        <v>165</v>
      </c>
      <c r="B17" s="9" t="s">
        <v>81</v>
      </c>
      <c r="C17" s="9" t="s">
        <v>166</v>
      </c>
      <c r="D17" s="9" t="s">
        <v>103</v>
      </c>
      <c r="E17" s="9" t="s">
        <v>81</v>
      </c>
      <c r="F17" s="9" t="s">
        <v>104</v>
      </c>
      <c r="G17" s="9" t="s">
        <v>113</v>
      </c>
      <c r="H17" s="9" t="s">
        <v>129</v>
      </c>
      <c r="I17" s="9" t="s">
        <v>106</v>
      </c>
      <c r="J17" s="10">
        <f t="shared" si="0"/>
        <v>0</v>
      </c>
      <c r="K17" s="11"/>
      <c r="L17" s="11"/>
      <c r="M17" s="9" t="s">
        <v>167</v>
      </c>
      <c r="N17" s="9"/>
      <c r="O17" s="9"/>
    </row>
    <row r="18" ht="42.75" spans="1:15">
      <c r="A18" s="9" t="s">
        <v>168</v>
      </c>
      <c r="B18" s="9" t="s">
        <v>81</v>
      </c>
      <c r="C18" s="9" t="s">
        <v>169</v>
      </c>
      <c r="D18" s="9" t="s">
        <v>103</v>
      </c>
      <c r="E18" s="9" t="s">
        <v>81</v>
      </c>
      <c r="F18" s="9" t="s">
        <v>104</v>
      </c>
      <c r="G18" s="9" t="s">
        <v>165</v>
      </c>
      <c r="H18" s="9" t="s">
        <v>129</v>
      </c>
      <c r="I18" s="9" t="s">
        <v>106</v>
      </c>
      <c r="J18" s="10">
        <f t="shared" si="0"/>
        <v>0</v>
      </c>
      <c r="K18" s="11"/>
      <c r="L18" s="11"/>
      <c r="M18" s="9" t="s">
        <v>170</v>
      </c>
      <c r="N18" s="9" t="s">
        <v>171</v>
      </c>
      <c r="O18" s="9"/>
    </row>
    <row r="19" ht="42.75" spans="1:15">
      <c r="A19" s="9" t="s">
        <v>172</v>
      </c>
      <c r="B19" s="9" t="s">
        <v>81</v>
      </c>
      <c r="C19" s="9" t="s">
        <v>173</v>
      </c>
      <c r="D19" s="9" t="s">
        <v>103</v>
      </c>
      <c r="E19" s="9" t="s">
        <v>81</v>
      </c>
      <c r="F19" s="9" t="s">
        <v>82</v>
      </c>
      <c r="G19" s="9" t="s">
        <v>174</v>
      </c>
      <c r="H19" s="9" t="s">
        <v>129</v>
      </c>
      <c r="I19" s="9" t="s">
        <v>106</v>
      </c>
      <c r="J19" s="10">
        <f t="shared" si="0"/>
        <v>0</v>
      </c>
      <c r="K19" s="11"/>
      <c r="L19" s="11"/>
      <c r="M19" s="9" t="s">
        <v>175</v>
      </c>
      <c r="N19" s="9" t="s">
        <v>176</v>
      </c>
      <c r="O19" s="9"/>
    </row>
    <row r="20" ht="42.75" spans="1:15">
      <c r="A20" s="9" t="s">
        <v>177</v>
      </c>
      <c r="B20" s="9" t="s">
        <v>81</v>
      </c>
      <c r="C20" s="9" t="s">
        <v>178</v>
      </c>
      <c r="D20" s="9" t="s">
        <v>146</v>
      </c>
      <c r="E20" s="9" t="s">
        <v>81</v>
      </c>
      <c r="F20" s="9" t="s">
        <v>104</v>
      </c>
      <c r="G20" s="9" t="s">
        <v>117</v>
      </c>
      <c r="H20" s="9" t="s">
        <v>129</v>
      </c>
      <c r="I20" s="9" t="s">
        <v>106</v>
      </c>
      <c r="J20" s="10">
        <f t="shared" si="0"/>
        <v>0</v>
      </c>
      <c r="K20" s="11"/>
      <c r="L20" s="11"/>
      <c r="M20" s="9" t="s">
        <v>179</v>
      </c>
      <c r="N20" s="9" t="s">
        <v>180</v>
      </c>
      <c r="O20" s="9"/>
    </row>
    <row r="21" ht="28.5" spans="1:15">
      <c r="A21" s="9" t="s">
        <v>181</v>
      </c>
      <c r="B21" s="9" t="s">
        <v>82</v>
      </c>
      <c r="C21" s="9" t="s">
        <v>182</v>
      </c>
      <c r="D21" s="9" t="s">
        <v>103</v>
      </c>
      <c r="E21" s="9" t="s">
        <v>82</v>
      </c>
      <c r="F21" s="9" t="s">
        <v>83</v>
      </c>
      <c r="G21" s="9" t="s">
        <v>183</v>
      </c>
      <c r="H21" s="9" t="s">
        <v>129</v>
      </c>
      <c r="I21" s="9" t="s">
        <v>106</v>
      </c>
      <c r="J21" s="10">
        <f t="shared" si="0"/>
        <v>0</v>
      </c>
      <c r="K21" s="11"/>
      <c r="L21" s="11"/>
      <c r="M21" s="9" t="s">
        <v>184</v>
      </c>
      <c r="N21" s="9"/>
      <c r="O21" s="9"/>
    </row>
    <row r="22" ht="57" spans="1:15">
      <c r="A22" s="9" t="s">
        <v>185</v>
      </c>
      <c r="B22" s="9" t="s">
        <v>82</v>
      </c>
      <c r="C22" s="9" t="s">
        <v>186</v>
      </c>
      <c r="D22" s="9" t="s">
        <v>103</v>
      </c>
      <c r="E22" s="9" t="s">
        <v>82</v>
      </c>
      <c r="F22" s="9" t="s">
        <v>81</v>
      </c>
      <c r="G22" s="9" t="s">
        <v>187</v>
      </c>
      <c r="H22" s="9" t="s">
        <v>129</v>
      </c>
      <c r="I22" s="9" t="s">
        <v>106</v>
      </c>
      <c r="J22" s="10">
        <f t="shared" si="0"/>
        <v>0</v>
      </c>
      <c r="K22" s="11"/>
      <c r="L22" s="11"/>
      <c r="M22" s="9" t="s">
        <v>188</v>
      </c>
      <c r="N22" s="9"/>
      <c r="O22" s="9"/>
    </row>
    <row r="23" ht="42.75" spans="1:15">
      <c r="A23" s="9" t="s">
        <v>189</v>
      </c>
      <c r="B23" s="9" t="s">
        <v>82</v>
      </c>
      <c r="C23" s="9" t="s">
        <v>190</v>
      </c>
      <c r="D23" s="9" t="s">
        <v>103</v>
      </c>
      <c r="E23" s="9" t="s">
        <v>82</v>
      </c>
      <c r="F23" s="9" t="s">
        <v>83</v>
      </c>
      <c r="G23" s="9" t="s">
        <v>185</v>
      </c>
      <c r="H23" s="9" t="s">
        <v>129</v>
      </c>
      <c r="I23" s="9" t="s">
        <v>106</v>
      </c>
      <c r="J23" s="10">
        <f t="shared" si="0"/>
        <v>0</v>
      </c>
      <c r="K23" s="11"/>
      <c r="L23" s="11"/>
      <c r="M23" s="9" t="s">
        <v>191</v>
      </c>
      <c r="N23" s="9" t="s">
        <v>192</v>
      </c>
      <c r="O23" s="9"/>
    </row>
    <row r="24" ht="85.5" spans="1:15">
      <c r="A24" s="9" t="s">
        <v>193</v>
      </c>
      <c r="B24" s="9" t="s">
        <v>82</v>
      </c>
      <c r="C24" s="9" t="s">
        <v>194</v>
      </c>
      <c r="D24" s="9" t="s">
        <v>103</v>
      </c>
      <c r="E24" s="9" t="s">
        <v>82</v>
      </c>
      <c r="F24" s="9" t="s">
        <v>80</v>
      </c>
      <c r="G24" s="9" t="s">
        <v>195</v>
      </c>
      <c r="H24" s="9" t="s">
        <v>129</v>
      </c>
      <c r="I24" s="9" t="s">
        <v>106</v>
      </c>
      <c r="J24" s="10">
        <f t="shared" si="0"/>
        <v>0</v>
      </c>
      <c r="K24" s="11"/>
      <c r="L24" s="11"/>
      <c r="M24" s="9" t="s">
        <v>196</v>
      </c>
      <c r="N24" s="9" t="s">
        <v>328</v>
      </c>
      <c r="O24" s="9"/>
    </row>
    <row r="25" ht="85.5" spans="1:15">
      <c r="A25" s="9" t="s">
        <v>197</v>
      </c>
      <c r="B25" s="9" t="s">
        <v>82</v>
      </c>
      <c r="C25" s="9" t="s">
        <v>198</v>
      </c>
      <c r="D25" s="9" t="s">
        <v>103</v>
      </c>
      <c r="E25" s="9" t="s">
        <v>82</v>
      </c>
      <c r="F25" s="9" t="s">
        <v>81</v>
      </c>
      <c r="G25" s="9" t="s">
        <v>199</v>
      </c>
      <c r="H25" s="9" t="s">
        <v>129</v>
      </c>
      <c r="I25" s="9" t="s">
        <v>106</v>
      </c>
      <c r="J25" s="10">
        <f t="shared" si="0"/>
        <v>0</v>
      </c>
      <c r="K25" s="11"/>
      <c r="L25" s="11"/>
      <c r="M25" s="9" t="s">
        <v>200</v>
      </c>
      <c r="N25" s="9" t="s">
        <v>201</v>
      </c>
      <c r="O25" s="9"/>
    </row>
    <row r="26" ht="28.5" spans="1:15">
      <c r="A26" s="9" t="s">
        <v>202</v>
      </c>
      <c r="B26" s="9" t="s">
        <v>83</v>
      </c>
      <c r="C26" s="9" t="s">
        <v>203</v>
      </c>
      <c r="D26" s="9" t="s">
        <v>103</v>
      </c>
      <c r="E26" s="9" t="s">
        <v>83</v>
      </c>
      <c r="F26" s="9" t="s">
        <v>82</v>
      </c>
      <c r="G26" s="9" t="s">
        <v>117</v>
      </c>
      <c r="H26" s="9" t="s">
        <v>129</v>
      </c>
      <c r="I26" s="9" t="s">
        <v>106</v>
      </c>
      <c r="J26" s="10">
        <f t="shared" si="0"/>
        <v>0</v>
      </c>
      <c r="K26" s="11"/>
      <c r="L26" s="11"/>
      <c r="M26" s="9" t="s">
        <v>204</v>
      </c>
      <c r="N26" s="9"/>
      <c r="O26" s="9"/>
    </row>
    <row r="27" ht="28.5" spans="1:15">
      <c r="A27" s="9" t="s">
        <v>205</v>
      </c>
      <c r="B27" s="9" t="s">
        <v>83</v>
      </c>
      <c r="C27" s="9" t="s">
        <v>206</v>
      </c>
      <c r="D27" s="9" t="s">
        <v>103</v>
      </c>
      <c r="E27" s="9" t="s">
        <v>83</v>
      </c>
      <c r="F27" s="9" t="s">
        <v>80</v>
      </c>
      <c r="G27" s="9" t="s">
        <v>109</v>
      </c>
      <c r="H27" s="9" t="s">
        <v>129</v>
      </c>
      <c r="I27" s="9" t="s">
        <v>106</v>
      </c>
      <c r="J27" s="10">
        <f t="shared" si="0"/>
        <v>0</v>
      </c>
      <c r="K27" s="11"/>
      <c r="L27" s="11"/>
      <c r="M27" s="9" t="s">
        <v>207</v>
      </c>
      <c r="N27" s="9"/>
      <c r="O27" s="9"/>
    </row>
    <row r="28" ht="71.25" spans="1:15">
      <c r="A28" s="9" t="s">
        <v>208</v>
      </c>
      <c r="B28" s="9" t="s">
        <v>83</v>
      </c>
      <c r="C28" s="9" t="s">
        <v>209</v>
      </c>
      <c r="D28" s="9" t="s">
        <v>103</v>
      </c>
      <c r="E28" s="9" t="s">
        <v>83</v>
      </c>
      <c r="F28" s="9" t="s">
        <v>80</v>
      </c>
      <c r="G28" s="9" t="s">
        <v>210</v>
      </c>
      <c r="H28" s="9" t="s">
        <v>129</v>
      </c>
      <c r="I28" s="9" t="s">
        <v>106</v>
      </c>
      <c r="J28" s="10">
        <f t="shared" si="0"/>
        <v>0</v>
      </c>
      <c r="K28" s="11"/>
      <c r="L28" s="11"/>
      <c r="M28" s="9" t="s">
        <v>211</v>
      </c>
      <c r="N28" s="9" t="s">
        <v>212</v>
      </c>
      <c r="O28" s="9"/>
    </row>
    <row r="29" ht="28.5" spans="1:15">
      <c r="A29" s="9" t="s">
        <v>213</v>
      </c>
      <c r="B29" s="9" t="s">
        <v>83</v>
      </c>
      <c r="C29" s="9" t="s">
        <v>214</v>
      </c>
      <c r="D29" s="9" t="s">
        <v>146</v>
      </c>
      <c r="E29" s="9" t="s">
        <v>83</v>
      </c>
      <c r="F29" s="9" t="s">
        <v>82</v>
      </c>
      <c r="G29" s="9" t="s">
        <v>202</v>
      </c>
      <c r="H29" s="9" t="s">
        <v>129</v>
      </c>
      <c r="I29" s="9" t="s">
        <v>106</v>
      </c>
      <c r="J29" s="10">
        <f t="shared" si="0"/>
        <v>0</v>
      </c>
      <c r="K29" s="11"/>
      <c r="L29" s="11"/>
      <c r="M29" s="9" t="s">
        <v>215</v>
      </c>
      <c r="N29" s="9"/>
      <c r="O29" s="9"/>
    </row>
    <row r="30" ht="74.25" customHeight="1" spans="1:15">
      <c r="A30" s="9" t="s">
        <v>341</v>
      </c>
      <c r="B30" s="9" t="s">
        <v>342</v>
      </c>
      <c r="C30" s="9" t="s">
        <v>343</v>
      </c>
      <c r="D30" s="9" t="s">
        <v>344</v>
      </c>
      <c r="E30" s="9" t="s">
        <v>345</v>
      </c>
      <c r="F30" s="9" t="s">
        <v>346</v>
      </c>
      <c r="G30" s="9" t="s">
        <v>347</v>
      </c>
      <c r="H30" s="9" t="s">
        <v>348</v>
      </c>
      <c r="I30" s="9" t="s">
        <v>349</v>
      </c>
      <c r="J30" s="10">
        <f t="shared" si="0"/>
        <v>0</v>
      </c>
      <c r="K30" s="11">
        <v>46301</v>
      </c>
      <c r="L30" s="11">
        <v>46302</v>
      </c>
      <c r="M30" s="9" t="s">
        <v>350</v>
      </c>
      <c r="N30" s="9" t="s">
        <v>351</v>
      </c>
      <c r="O30" s="9"/>
    </row>
    <row r="31" ht="114.0" spans="1:15">
      <c r="A31" s="9" t="s">
        <v>216</v>
      </c>
      <c r="B31" s="9" t="s">
        <v>84</v>
      </c>
      <c r="C31" s="9" t="s">
        <v>217</v>
      </c>
      <c r="D31" s="9" t="s">
        <v>103</v>
      </c>
      <c r="E31" s="9" t="s">
        <v>120</v>
      </c>
      <c r="F31" s="9" t="s">
        <v>104</v>
      </c>
      <c r="G31" s="9" t="s">
        <v>218</v>
      </c>
      <c r="H31" s="9" t="s">
        <v>129</v>
      </c>
      <c r="I31" s="9" t="s">
        <v>106</v>
      </c>
      <c r="J31" s="10">
        <f t="shared" si="0"/>
        <v>0</v>
      </c>
      <c r="K31" s="11"/>
      <c r="L31" s="11"/>
      <c r="M31" s="9" t="s">
        <v>219</v>
      </c>
      <c r="N31" s="9"/>
      <c r="O31" s="9"/>
    </row>
  </sheetData>
  <conditionalFormatting sqref="I2:I100">
    <cfRule type="expression" dxfId="0" priority="2">
      <formula>I2="Blocked"</formula>
    </cfRule>
    <cfRule type="expression" dxfId="1" priority="3">
      <formula>I2="Done"</formula>
    </cfRule>
  </conditionalFormatting>
  <conditionalFormatting sqref="J2:J100">
    <cfRule type="dataBar" priority="1">
      <dataBar>
        <cfvo type="min"/>
        <cfvo type="max"/>
        <color rgb="FF4F81BD"/>
      </dataBar>
      <extLst>
        <ext xmlns:x14="http://schemas.microsoft.com/office/spreadsheetml/2009/9/main" uri="{B025F937-C7B1-47D3-B67F-A62EFF666E3E}">
          <x14:id>{055b4d76-dd26-46f0-a357-575cfeef0d78}</x14:id>
        </ext>
      </extLst>
    </cfRule>
  </conditionalFormatting>
  <dataValidations count="2">
    <dataValidation type="list" sqref="D2:D100">
      <formula1>"P0,P1"</formula1>
    </dataValidation>
    <dataValidation type="list" sqref="I2:I100">
      <formula1>"Not Started,Ready,In Progress,Blocked,Code Review,Testing,Done"</formula1>
    </dataValidation>
  </dataValidations>
  <pageMargins left="0.7" right="0.7" top="0.75" bottom="0.75" header="0.3" footer="0.3"/>
  <headerFooter/>
  <tableParts count="1">
    <tablePart r:id="rId1"/>
  </tableParts>
  <extLst>
    <ext xmlns:x14="http://schemas.microsoft.com/office/spreadsheetml/2009/9/main" uri="{78C0D931-6437-407d-A8EE-F0AAD7539E65}">
      <x14:conditionalFormattings>
        <x14:conditionalFormatting xmlns:xm="http://schemas.microsoft.com/office/excel/2006/main">
          <x14:cfRule type="dataBar" id="{055b4d76-dd26-46f0-a357-575cfeef0d78}">
            <x14:dataBar minLength="10" maxLength="90" negativeBarColorSameAsPositive="1">
              <x14:cfvo type="min"/>
              <x14:cfvo type="max"/>
              <x14:axisColor indexed="65"/>
            </x14:dataBar>
          </x14:cfRule>
          <xm:sqref>J2:J100</xm:sqref>
        </x14:conditionalFormatting>
      </x14:conditionalFormattings>
    </ext>
  </extLst>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Z100"/>
  <sheetViews>
    <sheetView workbookViewId="0">
      <selection activeCell="A1" sqref="A1:H2"/>
    </sheetView>
  </sheetViews>
  <sheetFormatPr defaultColWidth="9" defaultRowHeight="14.25"/>
  <cols>
    <col min="1" max="1" width="25" customWidth="1"/>
    <col min="2" max="2" width="32" customWidth="1"/>
    <col min="3" max="3" width="48" customWidth="1"/>
    <col min="4" max="4" width="55" customWidth="1"/>
    <col min="5" max="5" width="16" customWidth="1"/>
    <col min="6" max="6" width="12" customWidth="1"/>
    <col min="7" max="7" width="28" customWidth="1"/>
    <col min="8" max="8" width="30" customWidth="1"/>
  </cols>
  <sheetData>
    <row r="1" spans="1:26">
      <c r="A1" s="1" t="s">
        <v>220</v>
      </c>
      <c r="B1" s="1"/>
      <c r="C1" s="1"/>
      <c r="D1" s="1"/>
      <c r="E1" s="1"/>
      <c r="F1" s="1"/>
      <c r="G1" s="1"/>
      <c r="H1" s="1"/>
      <c r="I1" s="2"/>
      <c r="J1" s="2"/>
      <c r="K1" s="2"/>
      <c r="L1" s="2"/>
      <c r="M1" s="2"/>
      <c r="N1" s="2"/>
      <c r="O1" s="2"/>
      <c r="P1" s="2"/>
      <c r="Q1" s="2"/>
      <c r="R1" s="2"/>
      <c r="S1" s="2"/>
      <c r="T1" s="2"/>
      <c r="U1" s="2"/>
      <c r="V1" s="2"/>
      <c r="W1" s="2"/>
      <c r="X1" s="2"/>
      <c r="Y1" s="2"/>
      <c r="Z1" s="2"/>
    </row>
    <row r="2" spans="1:26">
      <c r="A2" s="1"/>
      <c r="B2" s="1"/>
      <c r="C2" s="1"/>
      <c r="D2" s="1"/>
      <c r="E2" s="1"/>
      <c r="F2" s="1"/>
      <c r="G2" s="1"/>
      <c r="H2" s="1"/>
      <c r="I2" s="2"/>
      <c r="J2" s="2"/>
      <c r="K2" s="2"/>
      <c r="L2" s="2"/>
      <c r="M2" s="2"/>
      <c r="N2" s="2"/>
      <c r="O2" s="2"/>
      <c r="P2" s="2"/>
      <c r="Q2" s="2"/>
      <c r="R2" s="2"/>
      <c r="S2" s="2"/>
      <c r="T2" s="2"/>
      <c r="U2" s="2"/>
      <c r="V2" s="2"/>
      <c r="W2" s="2"/>
      <c r="X2" s="2"/>
      <c r="Y2" s="2"/>
      <c r="Z2" s="2"/>
    </row>
    <row r="3" spans="1:26">
      <c r="A3" s="2"/>
      <c r="B3" s="2"/>
      <c r="C3" s="2"/>
      <c r="D3" s="2"/>
      <c r="E3" s="2"/>
      <c r="F3" s="2"/>
      <c r="G3" s="2"/>
      <c r="H3" s="2"/>
      <c r="I3" s="2"/>
      <c r="J3" s="2"/>
      <c r="K3" s="2"/>
      <c r="L3" s="2"/>
      <c r="M3" s="2"/>
      <c r="N3" s="2"/>
      <c r="O3" s="2"/>
      <c r="P3" s="2"/>
      <c r="Q3" s="2"/>
      <c r="R3" s="2"/>
      <c r="S3" s="2"/>
      <c r="T3" s="2"/>
      <c r="U3" s="2"/>
      <c r="V3" s="2"/>
      <c r="W3" s="2"/>
      <c r="X3" s="2"/>
      <c r="Y3" s="2"/>
      <c r="Z3" s="2"/>
    </row>
    <row r="4" ht="15" spans="1:26">
      <c r="A4" s="3" t="s">
        <v>86</v>
      </c>
      <c r="B4" s="3" t="s">
        <v>221</v>
      </c>
      <c r="C4" s="3" t="s">
        <v>222</v>
      </c>
      <c r="D4" s="3" t="s">
        <v>88</v>
      </c>
      <c r="E4" s="3" t="s">
        <v>87</v>
      </c>
      <c r="F4" s="3" t="s">
        <v>96</v>
      </c>
      <c r="G4" s="3" t="s">
        <v>89</v>
      </c>
      <c r="H4" s="3" t="s">
        <v>30</v>
      </c>
      <c r="I4" s="2"/>
      <c r="J4" s="2"/>
      <c r="K4" s="2"/>
      <c r="L4" s="2"/>
      <c r="M4" s="2"/>
      <c r="N4" s="2"/>
      <c r="O4" s="2"/>
      <c r="P4" s="2"/>
      <c r="Q4" s="2"/>
      <c r="R4" s="2"/>
      <c r="S4" s="2"/>
      <c r="T4" s="2"/>
      <c r="U4" s="2"/>
      <c r="V4" s="2"/>
      <c r="W4" s="2"/>
      <c r="X4" s="2"/>
      <c r="Y4" s="2"/>
      <c r="Z4" s="2"/>
    </row>
    <row r="5" ht="57.0" spans="1:26">
      <c r="A5" s="4" t="s">
        <v>5</v>
      </c>
      <c r="B5" s="4" t="s">
        <v>223</v>
      </c>
      <c r="C5" s="4" t="s">
        <v>224</v>
      </c>
      <c r="D5" s="4" t="s">
        <v>225</v>
      </c>
      <c r="E5" s="4" t="s">
        <v>226</v>
      </c>
      <c r="F5" s="7">
        <f>IFERROR(AVERAGEIF(M1_TASKS!B:B,"Foundation",M1_TASKS!J:J),0)</f>
        <v>0.266666666666667</v>
      </c>
      <c r="G5" s="4" t="s">
        <v>7</v>
      </c>
      <c r="H5" s="4" t="s">
        <v>227</v>
      </c>
      <c r="I5" s="2"/>
      <c r="J5" s="2"/>
      <c r="K5" s="2"/>
      <c r="L5" s="2"/>
      <c r="M5" s="2"/>
      <c r="N5" s="2"/>
      <c r="O5" s="2"/>
      <c r="P5" s="2"/>
      <c r="Q5" s="2"/>
      <c r="R5" s="2"/>
      <c r="S5" s="2"/>
      <c r="T5" s="2"/>
      <c r="U5" s="2"/>
      <c r="V5" s="2"/>
      <c r="W5" s="2"/>
      <c r="X5" s="2"/>
      <c r="Y5" s="2"/>
      <c r="Z5" s="2"/>
    </row>
    <row r="6" ht="99.75" spans="1:26">
      <c r="A6" s="4" t="s">
        <v>7</v>
      </c>
      <c r="B6" s="4" t="s">
        <v>228</v>
      </c>
      <c r="C6" s="4" t="s">
        <v>229</v>
      </c>
      <c r="D6" s="4" t="s">
        <v>230</v>
      </c>
      <c r="E6" s="4" t="s">
        <v>106</v>
      </c>
      <c r="F6" s="7">
        <f>DASHBOARD!E5</f>
        <v>0.053333333333333</v>
      </c>
      <c r="G6" s="4" t="s">
        <v>231</v>
      </c>
      <c r="H6" s="4" t="s">
        <v>232</v>
      </c>
      <c r="I6" s="2"/>
      <c r="J6" s="2"/>
      <c r="K6" s="2"/>
      <c r="L6" s="2"/>
      <c r="M6" s="2"/>
      <c r="N6" s="2"/>
      <c r="O6" s="2"/>
      <c r="P6" s="2"/>
      <c r="Q6" s="2"/>
      <c r="R6" s="2"/>
      <c r="S6" s="2"/>
      <c r="T6" s="2"/>
      <c r="U6" s="2"/>
      <c r="V6" s="2"/>
      <c r="W6" s="2"/>
      <c r="X6" s="2"/>
      <c r="Y6" s="2"/>
      <c r="Z6" s="2"/>
    </row>
    <row r="7" ht="114.0" spans="1:26">
      <c r="A7" s="4" t="s">
        <v>233</v>
      </c>
      <c r="B7" s="4" t="s">
        <v>234</v>
      </c>
      <c r="C7" s="4" t="s">
        <v>235</v>
      </c>
      <c r="D7" s="4" t="s">
        <v>236</v>
      </c>
      <c r="E7" s="4" t="s">
        <v>106</v>
      </c>
      <c r="F7" s="7">
        <v>0</v>
      </c>
      <c r="G7" s="4" t="s">
        <v>237</v>
      </c>
      <c r="H7" s="4" t="s">
        <v>238</v>
      </c>
      <c r="I7" s="2"/>
      <c r="J7" s="2"/>
      <c r="K7" s="2"/>
      <c r="L7" s="2"/>
      <c r="M7" s="2"/>
      <c r="N7" s="2"/>
      <c r="O7" s="2"/>
      <c r="P7" s="2"/>
      <c r="Q7" s="2"/>
      <c r="R7" s="2"/>
      <c r="S7" s="2"/>
      <c r="T7" s="2"/>
      <c r="U7" s="2"/>
      <c r="V7" s="2"/>
      <c r="W7" s="2"/>
      <c r="X7" s="2"/>
      <c r="Y7" s="2"/>
      <c r="Z7" s="2"/>
    </row>
    <row r="8" ht="71.25" spans="1:26">
      <c r="A8" s="4" t="s">
        <v>239</v>
      </c>
      <c r="B8" s="4" t="s">
        <v>240</v>
      </c>
      <c r="C8" s="4" t="s">
        <v>241</v>
      </c>
      <c r="D8" s="4" t="s">
        <v>242</v>
      </c>
      <c r="E8" s="4" t="s">
        <v>106</v>
      </c>
      <c r="F8" s="7">
        <v>0</v>
      </c>
      <c r="G8" s="4" t="s">
        <v>237</v>
      </c>
      <c r="H8" s="4" t="s">
        <v>243</v>
      </c>
      <c r="I8" s="2"/>
      <c r="J8" s="2"/>
      <c r="K8" s="2"/>
      <c r="L8" s="2"/>
      <c r="M8" s="2"/>
      <c r="N8" s="2"/>
      <c r="O8" s="2"/>
      <c r="P8" s="2"/>
      <c r="Q8" s="2"/>
      <c r="R8" s="2"/>
      <c r="S8" s="2"/>
      <c r="T8" s="2"/>
      <c r="U8" s="2"/>
      <c r="V8" s="2"/>
      <c r="W8" s="2"/>
      <c r="X8" s="2"/>
      <c r="Y8" s="2"/>
      <c r="Z8" s="2"/>
    </row>
    <row r="9" ht="185.25" spans="1:26">
      <c r="A9" s="4" t="s">
        <v>244</v>
      </c>
      <c r="B9" s="4" t="s">
        <v>245</v>
      </c>
      <c r="C9" s="4" t="s">
        <v>246</v>
      </c>
      <c r="D9" s="4" t="s">
        <v>247</v>
      </c>
      <c r="E9" s="4" t="s">
        <v>106</v>
      </c>
      <c r="F9" s="7">
        <v>0</v>
      </c>
      <c r="G9" s="4" t="s">
        <v>237</v>
      </c>
      <c r="H9" s="4" t="s">
        <v>248</v>
      </c>
      <c r="I9" s="2"/>
      <c r="J9" s="2"/>
      <c r="K9" s="2"/>
      <c r="L9" s="2"/>
      <c r="M9" s="2"/>
      <c r="N9" s="2"/>
      <c r="O9" s="2"/>
      <c r="P9" s="2"/>
      <c r="Q9" s="2"/>
      <c r="R9" s="2"/>
      <c r="S9" s="2"/>
      <c r="T9" s="2"/>
      <c r="U9" s="2"/>
      <c r="V9" s="2"/>
      <c r="W9" s="2"/>
      <c r="X9" s="2"/>
      <c r="Y9" s="2"/>
      <c r="Z9" s="2"/>
    </row>
    <row r="10" ht="42.75" spans="1:26">
      <c r="A10" s="4" t="s">
        <v>237</v>
      </c>
      <c r="B10" s="4" t="s">
        <v>249</v>
      </c>
      <c r="C10" s="4" t="s">
        <v>250</v>
      </c>
      <c r="D10" s="4" t="s">
        <v>251</v>
      </c>
      <c r="E10" s="4" t="s">
        <v>106</v>
      </c>
      <c r="F10" s="7">
        <v>0</v>
      </c>
      <c r="G10" s="4" t="s">
        <v>252</v>
      </c>
      <c r="H10" s="4" t="s">
        <v>253</v>
      </c>
      <c r="I10" s="2"/>
      <c r="J10" s="2"/>
      <c r="K10" s="2"/>
      <c r="L10" s="2"/>
      <c r="M10" s="2"/>
      <c r="N10" s="2"/>
      <c r="O10" s="2"/>
      <c r="P10" s="2"/>
      <c r="Q10" s="2"/>
      <c r="R10" s="2"/>
      <c r="S10" s="2"/>
      <c r="T10" s="2"/>
      <c r="U10" s="2"/>
      <c r="V10" s="2"/>
      <c r="W10" s="2"/>
      <c r="X10" s="2"/>
      <c r="Y10" s="2"/>
      <c r="Z10" s="2"/>
    </row>
    <row r="11" spans="1:26">
      <c r="A11" s="2"/>
      <c r="B11" s="2"/>
      <c r="C11" s="2"/>
      <c r="D11" s="2"/>
      <c r="E11" s="2"/>
      <c r="F11" s="2"/>
      <c r="G11" s="2"/>
      <c r="H11" s="2"/>
      <c r="I11" s="2"/>
      <c r="J11" s="2"/>
      <c r="K11" s="2"/>
      <c r="L11" s="2"/>
      <c r="M11" s="2"/>
      <c r="N11" s="2"/>
      <c r="O11" s="2"/>
      <c r="P11" s="2"/>
      <c r="Q11" s="2"/>
      <c r="R11" s="2"/>
      <c r="S11" s="2"/>
      <c r="T11" s="2"/>
      <c r="U11" s="2"/>
      <c r="V11" s="2"/>
      <c r="W11" s="2"/>
      <c r="X11" s="2"/>
      <c r="Y11" s="2"/>
      <c r="Z11" s="2"/>
    </row>
    <row r="12" spans="1:26">
      <c r="A12" s="2"/>
      <c r="B12" s="2"/>
      <c r="C12" s="2"/>
      <c r="D12" s="2"/>
      <c r="E12" s="2"/>
      <c r="F12" s="2"/>
      <c r="G12" s="2"/>
      <c r="H12" s="2"/>
      <c r="I12" s="2"/>
      <c r="J12" s="2"/>
      <c r="K12" s="2"/>
      <c r="L12" s="2"/>
      <c r="M12" s="2"/>
      <c r="N12" s="2"/>
      <c r="O12" s="2"/>
      <c r="P12" s="2"/>
      <c r="Q12" s="2"/>
      <c r="R12" s="2"/>
      <c r="S12" s="2"/>
      <c r="T12" s="2"/>
      <c r="U12" s="2"/>
      <c r="V12" s="2"/>
      <c r="W12" s="2"/>
      <c r="X12" s="2"/>
      <c r="Y12" s="2"/>
      <c r="Z12" s="2"/>
    </row>
    <row r="13" spans="1:26">
      <c r="A13" s="2"/>
      <c r="B13" s="2"/>
      <c r="C13" s="2"/>
      <c r="D13" s="2"/>
      <c r="E13" s="2"/>
      <c r="F13" s="2"/>
      <c r="G13" s="2"/>
      <c r="H13" s="2"/>
      <c r="I13" s="2"/>
      <c r="J13" s="2"/>
      <c r="K13" s="2"/>
      <c r="L13" s="2"/>
      <c r="M13" s="2"/>
      <c r="N13" s="2"/>
      <c r="O13" s="2"/>
      <c r="P13" s="2"/>
      <c r="Q13" s="2"/>
      <c r="R13" s="2"/>
      <c r="S13" s="2"/>
      <c r="T13" s="2"/>
      <c r="U13" s="2"/>
      <c r="V13" s="2"/>
      <c r="W13" s="2"/>
      <c r="X13" s="2"/>
      <c r="Y13" s="2"/>
      <c r="Z13" s="2"/>
    </row>
    <row r="14" spans="1:26">
      <c r="A14" s="2"/>
      <c r="B14" s="2"/>
      <c r="C14" s="2"/>
      <c r="D14" s="2"/>
      <c r="E14" s="2"/>
      <c r="F14" s="2"/>
      <c r="G14" s="2"/>
      <c r="H14" s="2"/>
      <c r="I14" s="2"/>
      <c r="J14" s="2"/>
      <c r="K14" s="2"/>
      <c r="L14" s="2"/>
      <c r="M14" s="2"/>
      <c r="N14" s="2"/>
      <c r="O14" s="2"/>
      <c r="P14" s="2"/>
      <c r="Q14" s="2"/>
      <c r="R14" s="2"/>
      <c r="S14" s="2"/>
      <c r="T14" s="2"/>
      <c r="U14" s="2"/>
      <c r="V14" s="2"/>
      <c r="W14" s="2"/>
      <c r="X14" s="2"/>
      <c r="Y14" s="2"/>
      <c r="Z14" s="2"/>
    </row>
    <row r="15" spans="1:26">
      <c r="A15" s="2"/>
      <c r="B15" s="2"/>
      <c r="C15" s="2"/>
      <c r="D15" s="2"/>
      <c r="E15" s="2"/>
      <c r="F15" s="2"/>
      <c r="G15" s="2"/>
      <c r="H15" s="2"/>
      <c r="I15" s="2"/>
      <c r="J15" s="2"/>
      <c r="K15" s="2"/>
      <c r="L15" s="2"/>
      <c r="M15" s="2"/>
      <c r="N15" s="2"/>
      <c r="O15" s="2"/>
      <c r="P15" s="2"/>
      <c r="Q15" s="2"/>
      <c r="R15" s="2"/>
      <c r="S15" s="2"/>
      <c r="T15" s="2"/>
      <c r="U15" s="2"/>
      <c r="V15" s="2"/>
      <c r="W15" s="2"/>
      <c r="X15" s="2"/>
      <c r="Y15" s="2"/>
      <c r="Z15" s="2"/>
    </row>
    <row r="16" spans="1:26">
      <c r="A16" s="2"/>
      <c r="B16" s="2"/>
      <c r="C16" s="2"/>
      <c r="D16" s="2"/>
      <c r="E16" s="2"/>
      <c r="F16" s="2"/>
      <c r="G16" s="2"/>
      <c r="H16" s="2"/>
      <c r="I16" s="2"/>
      <c r="J16" s="2"/>
      <c r="K16" s="2"/>
      <c r="L16" s="2"/>
      <c r="M16" s="2"/>
      <c r="N16" s="2"/>
      <c r="O16" s="2"/>
      <c r="P16" s="2"/>
      <c r="Q16" s="2"/>
      <c r="R16" s="2"/>
      <c r="S16" s="2"/>
      <c r="T16" s="2"/>
      <c r="U16" s="2"/>
      <c r="V16" s="2"/>
      <c r="W16" s="2"/>
      <c r="X16" s="2"/>
      <c r="Y16" s="2"/>
      <c r="Z16" s="2"/>
    </row>
    <row r="17" spans="1:26">
      <c r="A17" s="2"/>
      <c r="B17" s="2"/>
      <c r="C17" s="2"/>
      <c r="D17" s="2"/>
      <c r="E17" s="2"/>
      <c r="F17" s="2"/>
      <c r="G17" s="2"/>
      <c r="H17" s="2"/>
      <c r="I17" s="2"/>
      <c r="J17" s="2"/>
      <c r="K17" s="2"/>
      <c r="L17" s="2"/>
      <c r="M17" s="2"/>
      <c r="N17" s="2"/>
      <c r="O17" s="2"/>
      <c r="P17" s="2"/>
      <c r="Q17" s="2"/>
      <c r="R17" s="2"/>
      <c r="S17" s="2"/>
      <c r="T17" s="2"/>
      <c r="U17" s="2"/>
      <c r="V17" s="2"/>
      <c r="W17" s="2"/>
      <c r="X17" s="2"/>
      <c r="Y17" s="2"/>
      <c r="Z17" s="2"/>
    </row>
    <row r="18" spans="1:26">
      <c r="A18" s="2"/>
      <c r="B18" s="2"/>
      <c r="C18" s="2"/>
      <c r="D18" s="2"/>
      <c r="E18" s="2"/>
      <c r="F18" s="2"/>
      <c r="G18" s="2"/>
      <c r="H18" s="2"/>
      <c r="I18" s="2"/>
      <c r="J18" s="2"/>
      <c r="K18" s="2"/>
      <c r="L18" s="2"/>
      <c r="M18" s="2"/>
      <c r="N18" s="2"/>
      <c r="O18" s="2"/>
      <c r="P18" s="2"/>
      <c r="Q18" s="2"/>
      <c r="R18" s="2"/>
      <c r="S18" s="2"/>
      <c r="T18" s="2"/>
      <c r="U18" s="2"/>
      <c r="V18" s="2"/>
      <c r="W18" s="2"/>
      <c r="X18" s="2"/>
      <c r="Y18" s="2"/>
      <c r="Z18" s="2"/>
    </row>
    <row r="19" spans="1:26">
      <c r="A19" s="2"/>
      <c r="B19" s="2"/>
      <c r="C19" s="2"/>
      <c r="D19" s="2"/>
      <c r="E19" s="2"/>
      <c r="F19" s="2"/>
      <c r="G19" s="2"/>
      <c r="H19" s="2"/>
      <c r="I19" s="2"/>
      <c r="J19" s="2"/>
      <c r="K19" s="2"/>
      <c r="L19" s="2"/>
      <c r="M19" s="2"/>
      <c r="N19" s="2"/>
      <c r="O19" s="2"/>
      <c r="P19" s="2"/>
      <c r="Q19" s="2"/>
      <c r="R19" s="2"/>
      <c r="S19" s="2"/>
      <c r="T19" s="2"/>
      <c r="U19" s="2"/>
      <c r="V19" s="2"/>
      <c r="W19" s="2"/>
      <c r="X19" s="2"/>
      <c r="Y19" s="2"/>
      <c r="Z19" s="2"/>
    </row>
    <row r="20" spans="1:26">
      <c r="A20" s="2"/>
      <c r="B20" s="2"/>
      <c r="C20" s="2"/>
      <c r="D20" s="2"/>
      <c r="E20" s="2"/>
      <c r="F20" s="2"/>
      <c r="G20" s="2"/>
      <c r="H20" s="2"/>
      <c r="I20" s="2"/>
      <c r="J20" s="2"/>
      <c r="K20" s="2"/>
      <c r="L20" s="2"/>
      <c r="M20" s="2"/>
      <c r="N20" s="2"/>
      <c r="O20" s="2"/>
      <c r="P20" s="2"/>
      <c r="Q20" s="2"/>
      <c r="R20" s="2"/>
      <c r="S20" s="2"/>
      <c r="T20" s="2"/>
      <c r="U20" s="2"/>
      <c r="V20" s="2"/>
      <c r="W20" s="2"/>
      <c r="X20" s="2"/>
      <c r="Y20" s="2"/>
      <c r="Z20" s="2"/>
    </row>
    <row r="21" spans="1:26">
      <c r="A21" s="2"/>
      <c r="B21" s="2"/>
      <c r="C21" s="2"/>
      <c r="D21" s="2"/>
      <c r="E21" s="2"/>
      <c r="F21" s="2"/>
      <c r="G21" s="2"/>
      <c r="H21" s="2"/>
      <c r="I21" s="2"/>
      <c r="J21" s="2"/>
      <c r="K21" s="2"/>
      <c r="L21" s="2"/>
      <c r="M21" s="2"/>
      <c r="N21" s="2"/>
      <c r="O21" s="2"/>
      <c r="P21" s="2"/>
      <c r="Q21" s="2"/>
      <c r="R21" s="2"/>
      <c r="S21" s="2"/>
      <c r="T21" s="2"/>
      <c r="U21" s="2"/>
      <c r="V21" s="2"/>
      <c r="W21" s="2"/>
      <c r="X21" s="2"/>
      <c r="Y21" s="2"/>
      <c r="Z21" s="2"/>
    </row>
    <row r="22" spans="1:26">
      <c r="A22" s="2"/>
      <c r="B22" s="2"/>
      <c r="C22" s="2"/>
      <c r="D22" s="2"/>
      <c r="E22" s="2"/>
      <c r="F22" s="2"/>
      <c r="G22" s="2"/>
      <c r="H22" s="2"/>
      <c r="I22" s="2"/>
      <c r="J22" s="2"/>
      <c r="K22" s="2"/>
      <c r="L22" s="2"/>
      <c r="M22" s="2"/>
      <c r="N22" s="2"/>
      <c r="O22" s="2"/>
      <c r="P22" s="2"/>
      <c r="Q22" s="2"/>
      <c r="R22" s="2"/>
      <c r="S22" s="2"/>
      <c r="T22" s="2"/>
      <c r="U22" s="2"/>
      <c r="V22" s="2"/>
      <c r="W22" s="2"/>
      <c r="X22" s="2"/>
      <c r="Y22" s="2"/>
      <c r="Z22" s="2"/>
    </row>
    <row r="23" spans="1:26">
      <c r="A23" s="2"/>
      <c r="B23" s="2"/>
      <c r="C23" s="2"/>
      <c r="D23" s="2"/>
      <c r="E23" s="2"/>
      <c r="F23" s="2"/>
      <c r="G23" s="2"/>
      <c r="H23" s="2"/>
      <c r="I23" s="2"/>
      <c r="J23" s="2"/>
      <c r="K23" s="2"/>
      <c r="L23" s="2"/>
      <c r="M23" s="2"/>
      <c r="N23" s="2"/>
      <c r="O23" s="2"/>
      <c r="P23" s="2"/>
      <c r="Q23" s="2"/>
      <c r="R23" s="2"/>
      <c r="S23" s="2"/>
      <c r="T23" s="2"/>
      <c r="U23" s="2"/>
      <c r="V23" s="2"/>
      <c r="W23" s="2"/>
      <c r="X23" s="2"/>
      <c r="Y23" s="2"/>
      <c r="Z23" s="2"/>
    </row>
    <row r="24" spans="1:26">
      <c r="A24" s="2"/>
      <c r="B24" s="2"/>
      <c r="C24" s="2"/>
      <c r="D24" s="2"/>
      <c r="E24" s="2"/>
      <c r="F24" s="2"/>
      <c r="G24" s="2"/>
      <c r="H24" s="2"/>
      <c r="I24" s="2"/>
      <c r="J24" s="2"/>
      <c r="K24" s="2"/>
      <c r="L24" s="2"/>
      <c r="M24" s="2"/>
      <c r="N24" s="2"/>
      <c r="O24" s="2"/>
      <c r="P24" s="2"/>
      <c r="Q24" s="2"/>
      <c r="R24" s="2"/>
      <c r="S24" s="2"/>
      <c r="T24" s="2"/>
      <c r="U24" s="2"/>
      <c r="V24" s="2"/>
      <c r="W24" s="2"/>
      <c r="X24" s="2"/>
      <c r="Y24" s="2"/>
      <c r="Z24" s="2"/>
    </row>
    <row r="25" spans="1:26">
      <c r="A25" s="2"/>
      <c r="B25" s="2"/>
      <c r="C25" s="2"/>
      <c r="D25" s="2"/>
      <c r="E25" s="2"/>
      <c r="F25" s="2"/>
      <c r="G25" s="2"/>
      <c r="H25" s="2"/>
      <c r="I25" s="2"/>
      <c r="J25" s="2"/>
      <c r="K25" s="2"/>
      <c r="L25" s="2"/>
      <c r="M25" s="2"/>
      <c r="N25" s="2"/>
      <c r="O25" s="2"/>
      <c r="P25" s="2"/>
      <c r="Q25" s="2"/>
      <c r="R25" s="2"/>
      <c r="S25" s="2"/>
      <c r="T25" s="2"/>
      <c r="U25" s="2"/>
      <c r="V25" s="2"/>
      <c r="W25" s="2"/>
      <c r="X25" s="2"/>
      <c r="Y25" s="2"/>
      <c r="Z25" s="2"/>
    </row>
    <row r="26" spans="1:26">
      <c r="A26" s="2"/>
      <c r="B26" s="2"/>
      <c r="C26" s="2"/>
      <c r="D26" s="2"/>
      <c r="E26" s="2"/>
      <c r="F26" s="2"/>
      <c r="G26" s="2"/>
      <c r="H26" s="2"/>
      <c r="I26" s="2"/>
      <c r="J26" s="2"/>
      <c r="K26" s="2"/>
      <c r="L26" s="2"/>
      <c r="M26" s="2"/>
      <c r="N26" s="2"/>
      <c r="O26" s="2"/>
      <c r="P26" s="2"/>
      <c r="Q26" s="2"/>
      <c r="R26" s="2"/>
      <c r="S26" s="2"/>
      <c r="T26" s="2"/>
      <c r="U26" s="2"/>
      <c r="V26" s="2"/>
      <c r="W26" s="2"/>
      <c r="X26" s="2"/>
      <c r="Y26" s="2"/>
      <c r="Z26" s="2"/>
    </row>
    <row r="27" spans="1:26">
      <c r="A27" s="2"/>
      <c r="B27" s="2"/>
      <c r="C27" s="2"/>
      <c r="D27" s="2"/>
      <c r="E27" s="2"/>
      <c r="F27" s="2"/>
      <c r="G27" s="2"/>
      <c r="H27" s="2"/>
      <c r="I27" s="2"/>
      <c r="J27" s="2"/>
      <c r="K27" s="2"/>
      <c r="L27" s="2"/>
      <c r="M27" s="2"/>
      <c r="N27" s="2"/>
      <c r="O27" s="2"/>
      <c r="P27" s="2"/>
      <c r="Q27" s="2"/>
      <c r="R27" s="2"/>
      <c r="S27" s="2"/>
      <c r="T27" s="2"/>
      <c r="U27" s="2"/>
      <c r="V27" s="2"/>
      <c r="W27" s="2"/>
      <c r="X27" s="2"/>
      <c r="Y27" s="2"/>
      <c r="Z27" s="2"/>
    </row>
    <row r="28" spans="1:26">
      <c r="A28" s="2"/>
      <c r="B28" s="2"/>
      <c r="C28" s="2"/>
      <c r="D28" s="2"/>
      <c r="E28" s="2"/>
      <c r="F28" s="2"/>
      <c r="G28" s="2"/>
      <c r="H28" s="2"/>
      <c r="I28" s="2"/>
      <c r="J28" s="2"/>
      <c r="K28" s="2"/>
      <c r="L28" s="2"/>
      <c r="M28" s="2"/>
      <c r="N28" s="2"/>
      <c r="O28" s="2"/>
      <c r="P28" s="2"/>
      <c r="Q28" s="2"/>
      <c r="R28" s="2"/>
      <c r="S28" s="2"/>
      <c r="T28" s="2"/>
      <c r="U28" s="2"/>
      <c r="V28" s="2"/>
      <c r="W28" s="2"/>
      <c r="X28" s="2"/>
      <c r="Y28" s="2"/>
      <c r="Z28" s="2"/>
    </row>
    <row r="29" spans="1:26">
      <c r="A29" s="2"/>
      <c r="B29" s="2"/>
      <c r="C29" s="2"/>
      <c r="D29" s="2"/>
      <c r="E29" s="2"/>
      <c r="F29" s="2"/>
      <c r="G29" s="2"/>
      <c r="H29" s="2"/>
      <c r="I29" s="2"/>
      <c r="J29" s="2"/>
      <c r="K29" s="2"/>
      <c r="L29" s="2"/>
      <c r="M29" s="2"/>
      <c r="N29" s="2"/>
      <c r="O29" s="2"/>
      <c r="P29" s="2"/>
      <c r="Q29" s="2"/>
      <c r="R29" s="2"/>
      <c r="S29" s="2"/>
      <c r="T29" s="2"/>
      <c r="U29" s="2"/>
      <c r="V29" s="2"/>
      <c r="W29" s="2"/>
      <c r="X29" s="2"/>
      <c r="Y29" s="2"/>
      <c r="Z29" s="2"/>
    </row>
    <row r="30" spans="1:26">
      <c r="A30" s="2"/>
      <c r="B30" s="2"/>
      <c r="C30" s="2"/>
      <c r="D30" s="2"/>
      <c r="E30" s="2"/>
      <c r="F30" s="2"/>
      <c r="G30" s="2"/>
      <c r="H30" s="2"/>
      <c r="I30" s="2"/>
      <c r="J30" s="2"/>
      <c r="K30" s="2"/>
      <c r="L30" s="2"/>
      <c r="M30" s="2"/>
      <c r="N30" s="2"/>
      <c r="O30" s="2"/>
      <c r="P30" s="2"/>
      <c r="Q30" s="2"/>
      <c r="R30" s="2"/>
      <c r="S30" s="2"/>
      <c r="T30" s="2"/>
      <c r="U30" s="2"/>
      <c r="V30" s="2"/>
      <c r="W30" s="2"/>
      <c r="X30" s="2"/>
      <c r="Y30" s="2"/>
      <c r="Z30" s="2"/>
    </row>
    <row r="31" spans="1:26">
      <c r="A31" s="2"/>
      <c r="B31" s="2"/>
      <c r="C31" s="2"/>
      <c r="D31" s="2"/>
      <c r="E31" s="2"/>
      <c r="F31" s="2"/>
      <c r="G31" s="2"/>
      <c r="H31" s="2"/>
      <c r="I31" s="2"/>
      <c r="J31" s="2"/>
      <c r="K31" s="2"/>
      <c r="L31" s="2"/>
      <c r="M31" s="2"/>
      <c r="N31" s="2"/>
      <c r="O31" s="2"/>
      <c r="P31" s="2"/>
      <c r="Q31" s="2"/>
      <c r="R31" s="2"/>
      <c r="S31" s="2"/>
      <c r="T31" s="2"/>
      <c r="U31" s="2"/>
      <c r="V31" s="2"/>
      <c r="W31" s="2"/>
      <c r="X31" s="2"/>
      <c r="Y31" s="2"/>
      <c r="Z31" s="2"/>
    </row>
    <row r="32" spans="1:26">
      <c r="A32" s="2"/>
      <c r="B32" s="2"/>
      <c r="C32" s="2"/>
      <c r="D32" s="2"/>
      <c r="E32" s="2"/>
      <c r="F32" s="2"/>
      <c r="G32" s="2"/>
      <c r="H32" s="2"/>
      <c r="I32" s="2"/>
      <c r="J32" s="2"/>
      <c r="K32" s="2"/>
      <c r="L32" s="2"/>
      <c r="M32" s="2"/>
      <c r="N32" s="2"/>
      <c r="O32" s="2"/>
      <c r="P32" s="2"/>
      <c r="Q32" s="2"/>
      <c r="R32" s="2"/>
      <c r="S32" s="2"/>
      <c r="T32" s="2"/>
      <c r="U32" s="2"/>
      <c r="V32" s="2"/>
      <c r="W32" s="2"/>
      <c r="X32" s="2"/>
      <c r="Y32" s="2"/>
      <c r="Z32" s="2"/>
    </row>
    <row r="33" spans="1:26">
      <c r="A33" s="2"/>
      <c r="B33" s="2"/>
      <c r="C33" s="2"/>
      <c r="D33" s="2"/>
      <c r="E33" s="2"/>
      <c r="F33" s="2"/>
      <c r="G33" s="2"/>
      <c r="H33" s="2"/>
      <c r="I33" s="2"/>
      <c r="J33" s="2"/>
      <c r="K33" s="2"/>
      <c r="L33" s="2"/>
      <c r="M33" s="2"/>
      <c r="N33" s="2"/>
      <c r="O33" s="2"/>
      <c r="P33" s="2"/>
      <c r="Q33" s="2"/>
      <c r="R33" s="2"/>
      <c r="S33" s="2"/>
      <c r="T33" s="2"/>
      <c r="U33" s="2"/>
      <c r="V33" s="2"/>
      <c r="W33" s="2"/>
      <c r="X33" s="2"/>
      <c r="Y33" s="2"/>
      <c r="Z33" s="2"/>
    </row>
    <row r="34" spans="1:26">
      <c r="A34" s="2"/>
      <c r="B34" s="2"/>
      <c r="C34" s="2"/>
      <c r="D34" s="2"/>
      <c r="E34" s="2"/>
      <c r="F34" s="2"/>
      <c r="G34" s="2"/>
      <c r="H34" s="2"/>
      <c r="I34" s="2"/>
      <c r="J34" s="2"/>
      <c r="K34" s="2"/>
      <c r="L34" s="2"/>
      <c r="M34" s="2"/>
      <c r="N34" s="2"/>
      <c r="O34" s="2"/>
      <c r="P34" s="2"/>
      <c r="Q34" s="2"/>
      <c r="R34" s="2"/>
      <c r="S34" s="2"/>
      <c r="T34" s="2"/>
      <c r="U34" s="2"/>
      <c r="V34" s="2"/>
      <c r="W34" s="2"/>
      <c r="X34" s="2"/>
      <c r="Y34" s="2"/>
      <c r="Z34" s="2"/>
    </row>
    <row r="35" spans="1:26">
      <c r="A35" s="2"/>
      <c r="B35" s="2"/>
      <c r="C35" s="2"/>
      <c r="D35" s="2"/>
      <c r="E35" s="2"/>
      <c r="F35" s="2"/>
      <c r="G35" s="2"/>
      <c r="H35" s="2"/>
      <c r="I35" s="2"/>
      <c r="J35" s="2"/>
      <c r="K35" s="2"/>
      <c r="L35" s="2"/>
      <c r="M35" s="2"/>
      <c r="N35" s="2"/>
      <c r="O35" s="2"/>
      <c r="P35" s="2"/>
      <c r="Q35" s="2"/>
      <c r="R35" s="2"/>
      <c r="S35" s="2"/>
      <c r="T35" s="2"/>
      <c r="U35" s="2"/>
      <c r="V35" s="2"/>
      <c r="W35" s="2"/>
      <c r="X35" s="2"/>
      <c r="Y35" s="2"/>
      <c r="Z35" s="2"/>
    </row>
    <row r="36" spans="1:26">
      <c r="A36" s="2"/>
      <c r="B36" s="2"/>
      <c r="C36" s="2"/>
      <c r="D36" s="2"/>
      <c r="E36" s="2"/>
      <c r="F36" s="2"/>
      <c r="G36" s="2"/>
      <c r="H36" s="2"/>
      <c r="I36" s="2"/>
      <c r="J36" s="2"/>
      <c r="K36" s="2"/>
      <c r="L36" s="2"/>
      <c r="M36" s="2"/>
      <c r="N36" s="2"/>
      <c r="O36" s="2"/>
      <c r="P36" s="2"/>
      <c r="Q36" s="2"/>
      <c r="R36" s="2"/>
      <c r="S36" s="2"/>
      <c r="T36" s="2"/>
      <c r="U36" s="2"/>
      <c r="V36" s="2"/>
      <c r="W36" s="2"/>
      <c r="X36" s="2"/>
      <c r="Y36" s="2"/>
      <c r="Z36" s="2"/>
    </row>
    <row r="37" spans="1:26">
      <c r="A37" s="2"/>
      <c r="B37" s="2"/>
      <c r="C37" s="2"/>
      <c r="D37" s="2"/>
      <c r="E37" s="2"/>
      <c r="F37" s="2"/>
      <c r="G37" s="2"/>
      <c r="H37" s="2"/>
      <c r="I37" s="2"/>
      <c r="J37" s="2"/>
      <c r="K37" s="2"/>
      <c r="L37" s="2"/>
      <c r="M37" s="2"/>
      <c r="N37" s="2"/>
      <c r="O37" s="2"/>
      <c r="P37" s="2"/>
      <c r="Q37" s="2"/>
      <c r="R37" s="2"/>
      <c r="S37" s="2"/>
      <c r="T37" s="2"/>
      <c r="U37" s="2"/>
      <c r="V37" s="2"/>
      <c r="W37" s="2"/>
      <c r="X37" s="2"/>
      <c r="Y37" s="2"/>
      <c r="Z37" s="2"/>
    </row>
    <row r="38" spans="1:26">
      <c r="A38" s="2"/>
      <c r="B38" s="2"/>
      <c r="C38" s="2"/>
      <c r="D38" s="2"/>
      <c r="E38" s="2"/>
      <c r="F38" s="2"/>
      <c r="G38" s="2"/>
      <c r="H38" s="2"/>
      <c r="I38" s="2"/>
      <c r="J38" s="2"/>
      <c r="K38" s="2"/>
      <c r="L38" s="2"/>
      <c r="M38" s="2"/>
      <c r="N38" s="2"/>
      <c r="O38" s="2"/>
      <c r="P38" s="2"/>
      <c r="Q38" s="2"/>
      <c r="R38" s="2"/>
      <c r="S38" s="2"/>
      <c r="T38" s="2"/>
      <c r="U38" s="2"/>
      <c r="V38" s="2"/>
      <c r="W38" s="2"/>
      <c r="X38" s="2"/>
      <c r="Y38" s="2"/>
      <c r="Z38" s="2"/>
    </row>
    <row r="39" spans="1:26">
      <c r="A39" s="2"/>
      <c r="B39" s="2"/>
      <c r="C39" s="2"/>
      <c r="D39" s="2"/>
      <c r="E39" s="2"/>
      <c r="F39" s="2"/>
      <c r="G39" s="2"/>
      <c r="H39" s="2"/>
      <c r="I39" s="2"/>
      <c r="J39" s="2"/>
      <c r="K39" s="2"/>
      <c r="L39" s="2"/>
      <c r="M39" s="2"/>
      <c r="N39" s="2"/>
      <c r="O39" s="2"/>
      <c r="P39" s="2"/>
      <c r="Q39" s="2"/>
      <c r="R39" s="2"/>
      <c r="S39" s="2"/>
      <c r="T39" s="2"/>
      <c r="U39" s="2"/>
      <c r="V39" s="2"/>
      <c r="W39" s="2"/>
      <c r="X39" s="2"/>
      <c r="Y39" s="2"/>
      <c r="Z39" s="2"/>
    </row>
    <row r="40" spans="1:26">
      <c r="A40" s="2"/>
      <c r="B40" s="2"/>
      <c r="C40" s="2"/>
      <c r="D40" s="2"/>
      <c r="E40" s="2"/>
      <c r="F40" s="2"/>
      <c r="G40" s="2"/>
      <c r="H40" s="2"/>
      <c r="I40" s="2"/>
      <c r="J40" s="2"/>
      <c r="K40" s="2"/>
      <c r="L40" s="2"/>
      <c r="M40" s="2"/>
      <c r="N40" s="2"/>
      <c r="O40" s="2"/>
      <c r="P40" s="2"/>
      <c r="Q40" s="2"/>
      <c r="R40" s="2"/>
      <c r="S40" s="2"/>
      <c r="T40" s="2"/>
      <c r="U40" s="2"/>
      <c r="V40" s="2"/>
      <c r="W40" s="2"/>
      <c r="X40" s="2"/>
      <c r="Y40" s="2"/>
      <c r="Z40" s="2"/>
    </row>
    <row r="41" spans="1:26">
      <c r="A41" s="2"/>
      <c r="B41" s="2"/>
      <c r="C41" s="2"/>
      <c r="D41" s="2"/>
      <c r="E41" s="2"/>
      <c r="F41" s="2"/>
      <c r="G41" s="2"/>
      <c r="H41" s="2"/>
      <c r="I41" s="2"/>
      <c r="J41" s="2"/>
      <c r="K41" s="2"/>
      <c r="L41" s="2"/>
      <c r="M41" s="2"/>
      <c r="N41" s="2"/>
      <c r="O41" s="2"/>
      <c r="P41" s="2"/>
      <c r="Q41" s="2"/>
      <c r="R41" s="2"/>
      <c r="S41" s="2"/>
      <c r="T41" s="2"/>
      <c r="U41" s="2"/>
      <c r="V41" s="2"/>
      <c r="W41" s="2"/>
      <c r="X41" s="2"/>
      <c r="Y41" s="2"/>
      <c r="Z41" s="2"/>
    </row>
    <row r="42" spans="1:26">
      <c r="A42" s="2"/>
      <c r="B42" s="2"/>
      <c r="C42" s="2"/>
      <c r="D42" s="2"/>
      <c r="E42" s="2"/>
      <c r="F42" s="2"/>
      <c r="G42" s="2"/>
      <c r="H42" s="2"/>
      <c r="I42" s="2"/>
      <c r="J42" s="2"/>
      <c r="K42" s="2"/>
      <c r="L42" s="2"/>
      <c r="M42" s="2"/>
      <c r="N42" s="2"/>
      <c r="O42" s="2"/>
      <c r="P42" s="2"/>
      <c r="Q42" s="2"/>
      <c r="R42" s="2"/>
      <c r="S42" s="2"/>
      <c r="T42" s="2"/>
      <c r="U42" s="2"/>
      <c r="V42" s="2"/>
      <c r="W42" s="2"/>
      <c r="X42" s="2"/>
      <c r="Y42" s="2"/>
      <c r="Z42" s="2"/>
    </row>
    <row r="43" spans="1:26">
      <c r="A43" s="2"/>
      <c r="B43" s="2"/>
      <c r="C43" s="2"/>
      <c r="D43" s="2"/>
      <c r="E43" s="2"/>
      <c r="F43" s="2"/>
      <c r="G43" s="2"/>
      <c r="H43" s="2"/>
      <c r="I43" s="2"/>
      <c r="J43" s="2"/>
      <c r="K43" s="2"/>
      <c r="L43" s="2"/>
      <c r="M43" s="2"/>
      <c r="N43" s="2"/>
      <c r="O43" s="2"/>
      <c r="P43" s="2"/>
      <c r="Q43" s="2"/>
      <c r="R43" s="2"/>
      <c r="S43" s="2"/>
      <c r="T43" s="2"/>
      <c r="U43" s="2"/>
      <c r="V43" s="2"/>
      <c r="W43" s="2"/>
      <c r="X43" s="2"/>
      <c r="Y43" s="2"/>
      <c r="Z43" s="2"/>
    </row>
    <row r="44" spans="1:26">
      <c r="A44" s="2"/>
      <c r="B44" s="2"/>
      <c r="C44" s="2"/>
      <c r="D44" s="2"/>
      <c r="E44" s="2"/>
      <c r="F44" s="2"/>
      <c r="G44" s="2"/>
      <c r="H44" s="2"/>
      <c r="I44" s="2"/>
      <c r="J44" s="2"/>
      <c r="K44" s="2"/>
      <c r="L44" s="2"/>
      <c r="M44" s="2"/>
      <c r="N44" s="2"/>
      <c r="O44" s="2"/>
      <c r="P44" s="2"/>
      <c r="Q44" s="2"/>
      <c r="R44" s="2"/>
      <c r="S44" s="2"/>
      <c r="T44" s="2"/>
      <c r="U44" s="2"/>
      <c r="V44" s="2"/>
      <c r="W44" s="2"/>
      <c r="X44" s="2"/>
      <c r="Y44" s="2"/>
      <c r="Z44" s="2"/>
    </row>
    <row r="45" spans="1:26">
      <c r="A45" s="2"/>
      <c r="B45" s="2"/>
      <c r="C45" s="2"/>
      <c r="D45" s="2"/>
      <c r="E45" s="2"/>
      <c r="F45" s="2"/>
      <c r="G45" s="2"/>
      <c r="H45" s="2"/>
      <c r="I45" s="2"/>
      <c r="J45" s="2"/>
      <c r="K45" s="2"/>
      <c r="L45" s="2"/>
      <c r="M45" s="2"/>
      <c r="N45" s="2"/>
      <c r="O45" s="2"/>
      <c r="P45" s="2"/>
      <c r="Q45" s="2"/>
      <c r="R45" s="2"/>
      <c r="S45" s="2"/>
      <c r="T45" s="2"/>
      <c r="U45" s="2"/>
      <c r="V45" s="2"/>
      <c r="W45" s="2"/>
      <c r="X45" s="2"/>
      <c r="Y45" s="2"/>
      <c r="Z45" s="2"/>
    </row>
    <row r="46" spans="1:26">
      <c r="A46" s="2"/>
      <c r="B46" s="2"/>
      <c r="C46" s="2"/>
      <c r="D46" s="2"/>
      <c r="E46" s="2"/>
      <c r="F46" s="2"/>
      <c r="G46" s="2"/>
      <c r="H46" s="2"/>
      <c r="I46" s="2"/>
      <c r="J46" s="2"/>
      <c r="K46" s="2"/>
      <c r="L46" s="2"/>
      <c r="M46" s="2"/>
      <c r="N46" s="2"/>
      <c r="O46" s="2"/>
      <c r="P46" s="2"/>
      <c r="Q46" s="2"/>
      <c r="R46" s="2"/>
      <c r="S46" s="2"/>
      <c r="T46" s="2"/>
      <c r="U46" s="2"/>
      <c r="V46" s="2"/>
      <c r="W46" s="2"/>
      <c r="X46" s="2"/>
      <c r="Y46" s="2"/>
      <c r="Z46" s="2"/>
    </row>
    <row r="47" spans="1:26">
      <c r="A47" s="2"/>
      <c r="B47" s="2"/>
      <c r="C47" s="2"/>
      <c r="D47" s="2"/>
      <c r="E47" s="2"/>
      <c r="F47" s="2"/>
      <c r="G47" s="2"/>
      <c r="H47" s="2"/>
      <c r="I47" s="2"/>
      <c r="J47" s="2"/>
      <c r="K47" s="2"/>
      <c r="L47" s="2"/>
      <c r="M47" s="2"/>
      <c r="N47" s="2"/>
      <c r="O47" s="2"/>
      <c r="P47" s="2"/>
      <c r="Q47" s="2"/>
      <c r="R47" s="2"/>
      <c r="S47" s="2"/>
      <c r="T47" s="2"/>
      <c r="U47" s="2"/>
      <c r="V47" s="2"/>
      <c r="W47" s="2"/>
      <c r="X47" s="2"/>
      <c r="Y47" s="2"/>
      <c r="Z47" s="2"/>
    </row>
    <row r="48" spans="1:26">
      <c r="A48" s="2"/>
      <c r="B48" s="2"/>
      <c r="C48" s="2"/>
      <c r="D48" s="2"/>
      <c r="E48" s="2"/>
      <c r="F48" s="2"/>
      <c r="G48" s="2"/>
      <c r="H48" s="2"/>
      <c r="I48" s="2"/>
      <c r="J48" s="2"/>
      <c r="K48" s="2"/>
      <c r="L48" s="2"/>
      <c r="M48" s="2"/>
      <c r="N48" s="2"/>
      <c r="O48" s="2"/>
      <c r="P48" s="2"/>
      <c r="Q48" s="2"/>
      <c r="R48" s="2"/>
      <c r="S48" s="2"/>
      <c r="T48" s="2"/>
      <c r="U48" s="2"/>
      <c r="V48" s="2"/>
      <c r="W48" s="2"/>
      <c r="X48" s="2"/>
      <c r="Y48" s="2"/>
      <c r="Z48" s="2"/>
    </row>
    <row r="49" spans="1:26">
      <c r="A49" s="2"/>
      <c r="B49" s="2"/>
      <c r="C49" s="2"/>
      <c r="D49" s="2"/>
      <c r="E49" s="2"/>
      <c r="F49" s="2"/>
      <c r="G49" s="2"/>
      <c r="H49" s="2"/>
      <c r="I49" s="2"/>
      <c r="J49" s="2"/>
      <c r="K49" s="2"/>
      <c r="L49" s="2"/>
      <c r="M49" s="2"/>
      <c r="N49" s="2"/>
      <c r="O49" s="2"/>
      <c r="P49" s="2"/>
      <c r="Q49" s="2"/>
      <c r="R49" s="2"/>
      <c r="S49" s="2"/>
      <c r="T49" s="2"/>
      <c r="U49" s="2"/>
      <c r="V49" s="2"/>
      <c r="W49" s="2"/>
      <c r="X49" s="2"/>
      <c r="Y49" s="2"/>
      <c r="Z49" s="2"/>
    </row>
    <row r="50" spans="1:26">
      <c r="A50" s="2"/>
      <c r="B50" s="2"/>
      <c r="C50" s="2"/>
      <c r="D50" s="2"/>
      <c r="E50" s="2"/>
      <c r="F50" s="2"/>
      <c r="G50" s="2"/>
      <c r="H50" s="2"/>
      <c r="I50" s="2"/>
      <c r="J50" s="2"/>
      <c r="K50" s="2"/>
      <c r="L50" s="2"/>
      <c r="M50" s="2"/>
      <c r="N50" s="2"/>
      <c r="O50" s="2"/>
      <c r="P50" s="2"/>
      <c r="Q50" s="2"/>
      <c r="R50" s="2"/>
      <c r="S50" s="2"/>
      <c r="T50" s="2"/>
      <c r="U50" s="2"/>
      <c r="V50" s="2"/>
      <c r="W50" s="2"/>
      <c r="X50" s="2"/>
      <c r="Y50" s="2"/>
      <c r="Z50" s="2"/>
    </row>
    <row r="51" spans="1:26">
      <c r="A51" s="2"/>
      <c r="B51" s="2"/>
      <c r="C51" s="2"/>
      <c r="D51" s="2"/>
      <c r="E51" s="2"/>
      <c r="F51" s="2"/>
      <c r="G51" s="2"/>
      <c r="H51" s="2"/>
      <c r="I51" s="2"/>
      <c r="J51" s="2"/>
      <c r="K51" s="2"/>
      <c r="L51" s="2"/>
      <c r="M51" s="2"/>
      <c r="N51" s="2"/>
      <c r="O51" s="2"/>
      <c r="P51" s="2"/>
      <c r="Q51" s="2"/>
      <c r="R51" s="2"/>
      <c r="S51" s="2"/>
      <c r="T51" s="2"/>
      <c r="U51" s="2"/>
      <c r="V51" s="2"/>
      <c r="W51" s="2"/>
      <c r="X51" s="2"/>
      <c r="Y51" s="2"/>
      <c r="Z51" s="2"/>
    </row>
    <row r="52" spans="1:26">
      <c r="A52" s="2"/>
      <c r="B52" s="2"/>
      <c r="C52" s="2"/>
      <c r="D52" s="2"/>
      <c r="E52" s="2"/>
      <c r="F52" s="2"/>
      <c r="G52" s="2"/>
      <c r="H52" s="2"/>
      <c r="I52" s="2"/>
      <c r="J52" s="2"/>
      <c r="K52" s="2"/>
      <c r="L52" s="2"/>
      <c r="M52" s="2"/>
      <c r="N52" s="2"/>
      <c r="O52" s="2"/>
      <c r="P52" s="2"/>
      <c r="Q52" s="2"/>
      <c r="R52" s="2"/>
      <c r="S52" s="2"/>
      <c r="T52" s="2"/>
      <c r="U52" s="2"/>
      <c r="V52" s="2"/>
      <c r="W52" s="2"/>
      <c r="X52" s="2"/>
      <c r="Y52" s="2"/>
      <c r="Z52" s="2"/>
    </row>
    <row r="53" spans="1:26">
      <c r="A53" s="2"/>
      <c r="B53" s="2"/>
      <c r="C53" s="2"/>
      <c r="D53" s="2"/>
      <c r="E53" s="2"/>
      <c r="F53" s="2"/>
      <c r="G53" s="2"/>
      <c r="H53" s="2"/>
      <c r="I53" s="2"/>
      <c r="J53" s="2"/>
      <c r="K53" s="2"/>
      <c r="L53" s="2"/>
      <c r="M53" s="2"/>
      <c r="N53" s="2"/>
      <c r="O53" s="2"/>
      <c r="P53" s="2"/>
      <c r="Q53" s="2"/>
      <c r="R53" s="2"/>
      <c r="S53" s="2"/>
      <c r="T53" s="2"/>
      <c r="U53" s="2"/>
      <c r="V53" s="2"/>
      <c r="W53" s="2"/>
      <c r="X53" s="2"/>
      <c r="Y53" s="2"/>
      <c r="Z53" s="2"/>
    </row>
    <row r="54" spans="1:26">
      <c r="A54" s="2"/>
      <c r="B54" s="2"/>
      <c r="C54" s="2"/>
      <c r="D54" s="2"/>
      <c r="E54" s="2"/>
      <c r="F54" s="2"/>
      <c r="G54" s="2"/>
      <c r="H54" s="2"/>
      <c r="I54" s="2"/>
      <c r="J54" s="2"/>
      <c r="K54" s="2"/>
      <c r="L54" s="2"/>
      <c r="M54" s="2"/>
      <c r="N54" s="2"/>
      <c r="O54" s="2"/>
      <c r="P54" s="2"/>
      <c r="Q54" s="2"/>
      <c r="R54" s="2"/>
      <c r="S54" s="2"/>
      <c r="T54" s="2"/>
      <c r="U54" s="2"/>
      <c r="V54" s="2"/>
      <c r="W54" s="2"/>
      <c r="X54" s="2"/>
      <c r="Y54" s="2"/>
      <c r="Z54" s="2"/>
    </row>
    <row r="55" spans="1:26">
      <c r="A55" s="2"/>
      <c r="B55" s="2"/>
      <c r="C55" s="2"/>
      <c r="D55" s="2"/>
      <c r="E55" s="2"/>
      <c r="F55" s="2"/>
      <c r="G55" s="2"/>
      <c r="H55" s="2"/>
      <c r="I55" s="2"/>
      <c r="J55" s="2"/>
      <c r="K55" s="2"/>
      <c r="L55" s="2"/>
      <c r="M55" s="2"/>
      <c r="N55" s="2"/>
      <c r="O55" s="2"/>
      <c r="P55" s="2"/>
      <c r="Q55" s="2"/>
      <c r="R55" s="2"/>
      <c r="S55" s="2"/>
      <c r="T55" s="2"/>
      <c r="U55" s="2"/>
      <c r="V55" s="2"/>
      <c r="W55" s="2"/>
      <c r="X55" s="2"/>
      <c r="Y55" s="2"/>
      <c r="Z55" s="2"/>
    </row>
    <row r="56" spans="1:26">
      <c r="A56" s="2"/>
      <c r="B56" s="2"/>
      <c r="C56" s="2"/>
      <c r="D56" s="2"/>
      <c r="E56" s="2"/>
      <c r="F56" s="2"/>
      <c r="G56" s="2"/>
      <c r="H56" s="2"/>
      <c r="I56" s="2"/>
      <c r="J56" s="2"/>
      <c r="K56" s="2"/>
      <c r="L56" s="2"/>
      <c r="M56" s="2"/>
      <c r="N56" s="2"/>
      <c r="O56" s="2"/>
      <c r="P56" s="2"/>
      <c r="Q56" s="2"/>
      <c r="R56" s="2"/>
      <c r="S56" s="2"/>
      <c r="T56" s="2"/>
      <c r="U56" s="2"/>
      <c r="V56" s="2"/>
      <c r="W56" s="2"/>
      <c r="X56" s="2"/>
      <c r="Y56" s="2"/>
      <c r="Z56" s="2"/>
    </row>
    <row r="57" spans="1:26">
      <c r="A57" s="2"/>
      <c r="B57" s="2"/>
      <c r="C57" s="2"/>
      <c r="D57" s="2"/>
      <c r="E57" s="2"/>
      <c r="F57" s="2"/>
      <c r="G57" s="2"/>
      <c r="H57" s="2"/>
      <c r="I57" s="2"/>
      <c r="J57" s="2"/>
      <c r="K57" s="2"/>
      <c r="L57" s="2"/>
      <c r="M57" s="2"/>
      <c r="N57" s="2"/>
      <c r="O57" s="2"/>
      <c r="P57" s="2"/>
      <c r="Q57" s="2"/>
      <c r="R57" s="2"/>
      <c r="S57" s="2"/>
      <c r="T57" s="2"/>
      <c r="U57" s="2"/>
      <c r="V57" s="2"/>
      <c r="W57" s="2"/>
      <c r="X57" s="2"/>
      <c r="Y57" s="2"/>
      <c r="Z57" s="2"/>
    </row>
    <row r="58" spans="1:26">
      <c r="A58" s="2"/>
      <c r="B58" s="2"/>
      <c r="C58" s="2"/>
      <c r="D58" s="2"/>
      <c r="E58" s="2"/>
      <c r="F58" s="2"/>
      <c r="G58" s="2"/>
      <c r="H58" s="2"/>
      <c r="I58" s="2"/>
      <c r="J58" s="2"/>
      <c r="K58" s="2"/>
      <c r="L58" s="2"/>
      <c r="M58" s="2"/>
      <c r="N58" s="2"/>
      <c r="O58" s="2"/>
      <c r="P58" s="2"/>
      <c r="Q58" s="2"/>
      <c r="R58" s="2"/>
      <c r="S58" s="2"/>
      <c r="T58" s="2"/>
      <c r="U58" s="2"/>
      <c r="V58" s="2"/>
      <c r="W58" s="2"/>
      <c r="X58" s="2"/>
      <c r="Y58" s="2"/>
      <c r="Z58" s="2"/>
    </row>
    <row r="59" spans="1:26">
      <c r="A59" s="2"/>
      <c r="B59" s="2"/>
      <c r="C59" s="2"/>
      <c r="D59" s="2"/>
      <c r="E59" s="2"/>
      <c r="F59" s="2"/>
      <c r="G59" s="2"/>
      <c r="H59" s="2"/>
      <c r="I59" s="2"/>
      <c r="J59" s="2"/>
      <c r="K59" s="2"/>
      <c r="L59" s="2"/>
      <c r="M59" s="2"/>
      <c r="N59" s="2"/>
      <c r="O59" s="2"/>
      <c r="P59" s="2"/>
      <c r="Q59" s="2"/>
      <c r="R59" s="2"/>
      <c r="S59" s="2"/>
      <c r="T59" s="2"/>
      <c r="U59" s="2"/>
      <c r="V59" s="2"/>
      <c r="W59" s="2"/>
      <c r="X59" s="2"/>
      <c r="Y59" s="2"/>
      <c r="Z59" s="2"/>
    </row>
    <row r="60" spans="1:26">
      <c r="A60" s="2"/>
      <c r="B60" s="2"/>
      <c r="C60" s="2"/>
      <c r="D60" s="2"/>
      <c r="E60" s="2"/>
      <c r="F60" s="2"/>
      <c r="G60" s="2"/>
      <c r="H60" s="2"/>
      <c r="I60" s="2"/>
      <c r="J60" s="2"/>
      <c r="K60" s="2"/>
      <c r="L60" s="2"/>
      <c r="M60" s="2"/>
      <c r="N60" s="2"/>
      <c r="O60" s="2"/>
      <c r="P60" s="2"/>
      <c r="Q60" s="2"/>
      <c r="R60" s="2"/>
      <c r="S60" s="2"/>
      <c r="T60" s="2"/>
      <c r="U60" s="2"/>
      <c r="V60" s="2"/>
      <c r="W60" s="2"/>
      <c r="X60" s="2"/>
      <c r="Y60" s="2"/>
      <c r="Z60" s="2"/>
    </row>
    <row r="61" spans="1:26">
      <c r="A61" s="2"/>
      <c r="B61" s="2"/>
      <c r="C61" s="2"/>
      <c r="D61" s="2"/>
      <c r="E61" s="2"/>
      <c r="F61" s="2"/>
      <c r="G61" s="2"/>
      <c r="H61" s="2"/>
      <c r="I61" s="2"/>
      <c r="J61" s="2"/>
      <c r="K61" s="2"/>
      <c r="L61" s="2"/>
      <c r="M61" s="2"/>
      <c r="N61" s="2"/>
      <c r="O61" s="2"/>
      <c r="P61" s="2"/>
      <c r="Q61" s="2"/>
      <c r="R61" s="2"/>
      <c r="S61" s="2"/>
      <c r="T61" s="2"/>
      <c r="U61" s="2"/>
      <c r="V61" s="2"/>
      <c r="W61" s="2"/>
      <c r="X61" s="2"/>
      <c r="Y61" s="2"/>
      <c r="Z61" s="2"/>
    </row>
    <row r="62" spans="1:26">
      <c r="A62" s="2"/>
      <c r="B62" s="2"/>
      <c r="C62" s="2"/>
      <c r="D62" s="2"/>
      <c r="E62" s="2"/>
      <c r="F62" s="2"/>
      <c r="G62" s="2"/>
      <c r="H62" s="2"/>
      <c r="I62" s="2"/>
      <c r="J62" s="2"/>
      <c r="K62" s="2"/>
      <c r="L62" s="2"/>
      <c r="M62" s="2"/>
      <c r="N62" s="2"/>
      <c r="O62" s="2"/>
      <c r="P62" s="2"/>
      <c r="Q62" s="2"/>
      <c r="R62" s="2"/>
      <c r="S62" s="2"/>
      <c r="T62" s="2"/>
      <c r="U62" s="2"/>
      <c r="V62" s="2"/>
      <c r="W62" s="2"/>
      <c r="X62" s="2"/>
      <c r="Y62" s="2"/>
      <c r="Z62" s="2"/>
    </row>
    <row r="63" spans="1:26">
      <c r="A63" s="2"/>
      <c r="B63" s="2"/>
      <c r="C63" s="2"/>
      <c r="D63" s="2"/>
      <c r="E63" s="2"/>
      <c r="F63" s="2"/>
      <c r="G63" s="2"/>
      <c r="H63" s="2"/>
      <c r="I63" s="2"/>
      <c r="J63" s="2"/>
      <c r="K63" s="2"/>
      <c r="L63" s="2"/>
      <c r="M63" s="2"/>
      <c r="N63" s="2"/>
      <c r="O63" s="2"/>
      <c r="P63" s="2"/>
      <c r="Q63" s="2"/>
      <c r="R63" s="2"/>
      <c r="S63" s="2"/>
      <c r="T63" s="2"/>
      <c r="U63" s="2"/>
      <c r="V63" s="2"/>
      <c r="W63" s="2"/>
      <c r="X63" s="2"/>
      <c r="Y63" s="2"/>
      <c r="Z63" s="2"/>
    </row>
    <row r="64" spans="1:26">
      <c r="A64" s="2"/>
      <c r="B64" s="2"/>
      <c r="C64" s="2"/>
      <c r="D64" s="2"/>
      <c r="E64" s="2"/>
      <c r="F64" s="2"/>
      <c r="G64" s="2"/>
      <c r="H64" s="2"/>
      <c r="I64" s="2"/>
      <c r="J64" s="2"/>
      <c r="K64" s="2"/>
      <c r="L64" s="2"/>
      <c r="M64" s="2"/>
      <c r="N64" s="2"/>
      <c r="O64" s="2"/>
      <c r="P64" s="2"/>
      <c r="Q64" s="2"/>
      <c r="R64" s="2"/>
      <c r="S64" s="2"/>
      <c r="T64" s="2"/>
      <c r="U64" s="2"/>
      <c r="V64" s="2"/>
      <c r="W64" s="2"/>
      <c r="X64" s="2"/>
      <c r="Y64" s="2"/>
      <c r="Z64" s="2"/>
    </row>
    <row r="65" spans="1:26">
      <c r="A65" s="2"/>
      <c r="B65" s="2"/>
      <c r="C65" s="2"/>
      <c r="D65" s="2"/>
      <c r="E65" s="2"/>
      <c r="F65" s="2"/>
      <c r="G65" s="2"/>
      <c r="H65" s="2"/>
      <c r="I65" s="2"/>
      <c r="J65" s="2"/>
      <c r="K65" s="2"/>
      <c r="L65" s="2"/>
      <c r="M65" s="2"/>
      <c r="N65" s="2"/>
      <c r="O65" s="2"/>
      <c r="P65" s="2"/>
      <c r="Q65" s="2"/>
      <c r="R65" s="2"/>
      <c r="S65" s="2"/>
      <c r="T65" s="2"/>
      <c r="U65" s="2"/>
      <c r="V65" s="2"/>
      <c r="W65" s="2"/>
      <c r="X65" s="2"/>
      <c r="Y65" s="2"/>
      <c r="Z65" s="2"/>
    </row>
    <row r="66" spans="1:26">
      <c r="A66" s="2"/>
      <c r="B66" s="2"/>
      <c r="C66" s="2"/>
      <c r="D66" s="2"/>
      <c r="E66" s="2"/>
      <c r="F66" s="2"/>
      <c r="G66" s="2"/>
      <c r="H66" s="2"/>
      <c r="I66" s="2"/>
      <c r="J66" s="2"/>
      <c r="K66" s="2"/>
      <c r="L66" s="2"/>
      <c r="M66" s="2"/>
      <c r="N66" s="2"/>
      <c r="O66" s="2"/>
      <c r="P66" s="2"/>
      <c r="Q66" s="2"/>
      <c r="R66" s="2"/>
      <c r="S66" s="2"/>
      <c r="T66" s="2"/>
      <c r="U66" s="2"/>
      <c r="V66" s="2"/>
      <c r="W66" s="2"/>
      <c r="X66" s="2"/>
      <c r="Y66" s="2"/>
      <c r="Z66" s="2"/>
    </row>
    <row r="67" spans="1:26">
      <c r="A67" s="2"/>
      <c r="B67" s="2"/>
      <c r="C67" s="2"/>
      <c r="D67" s="2"/>
      <c r="E67" s="2"/>
      <c r="F67" s="2"/>
      <c r="G67" s="2"/>
      <c r="H67" s="2"/>
      <c r="I67" s="2"/>
      <c r="J67" s="2"/>
      <c r="K67" s="2"/>
      <c r="L67" s="2"/>
      <c r="M67" s="2"/>
      <c r="N67" s="2"/>
      <c r="O67" s="2"/>
      <c r="P67" s="2"/>
      <c r="Q67" s="2"/>
      <c r="R67" s="2"/>
      <c r="S67" s="2"/>
      <c r="T67" s="2"/>
      <c r="U67" s="2"/>
      <c r="V67" s="2"/>
      <c r="W67" s="2"/>
      <c r="X67" s="2"/>
      <c r="Y67" s="2"/>
      <c r="Z67" s="2"/>
    </row>
    <row r="68" spans="1:26">
      <c r="A68" s="2"/>
      <c r="B68" s="2"/>
      <c r="C68" s="2"/>
      <c r="D68" s="2"/>
      <c r="E68" s="2"/>
      <c r="F68" s="2"/>
      <c r="G68" s="2"/>
      <c r="H68" s="2"/>
      <c r="I68" s="2"/>
      <c r="J68" s="2"/>
      <c r="K68" s="2"/>
      <c r="L68" s="2"/>
      <c r="M68" s="2"/>
      <c r="N68" s="2"/>
      <c r="O68" s="2"/>
      <c r="P68" s="2"/>
      <c r="Q68" s="2"/>
      <c r="R68" s="2"/>
      <c r="S68" s="2"/>
      <c r="T68" s="2"/>
      <c r="U68" s="2"/>
      <c r="V68" s="2"/>
      <c r="W68" s="2"/>
      <c r="X68" s="2"/>
      <c r="Y68" s="2"/>
      <c r="Z68" s="2"/>
    </row>
    <row r="69" spans="1:26">
      <c r="A69" s="2"/>
      <c r="B69" s="2"/>
      <c r="C69" s="2"/>
      <c r="D69" s="2"/>
      <c r="E69" s="2"/>
      <c r="F69" s="2"/>
      <c r="G69" s="2"/>
      <c r="H69" s="2"/>
      <c r="I69" s="2"/>
      <c r="J69" s="2"/>
      <c r="K69" s="2"/>
      <c r="L69" s="2"/>
      <c r="M69" s="2"/>
      <c r="N69" s="2"/>
      <c r="O69" s="2"/>
      <c r="P69" s="2"/>
      <c r="Q69" s="2"/>
      <c r="R69" s="2"/>
      <c r="S69" s="2"/>
      <c r="T69" s="2"/>
      <c r="U69" s="2"/>
      <c r="V69" s="2"/>
      <c r="W69" s="2"/>
      <c r="X69" s="2"/>
      <c r="Y69" s="2"/>
      <c r="Z69" s="2"/>
    </row>
    <row r="70" spans="1:26">
      <c r="A70" s="2"/>
      <c r="B70" s="2"/>
      <c r="C70" s="2"/>
      <c r="D70" s="2"/>
      <c r="E70" s="2"/>
      <c r="F70" s="2"/>
      <c r="G70" s="2"/>
      <c r="H70" s="2"/>
      <c r="I70" s="2"/>
      <c r="J70" s="2"/>
      <c r="K70" s="2"/>
      <c r="L70" s="2"/>
      <c r="M70" s="2"/>
      <c r="N70" s="2"/>
      <c r="O70" s="2"/>
      <c r="P70" s="2"/>
      <c r="Q70" s="2"/>
      <c r="R70" s="2"/>
      <c r="S70" s="2"/>
      <c r="T70" s="2"/>
      <c r="U70" s="2"/>
      <c r="V70" s="2"/>
      <c r="W70" s="2"/>
      <c r="X70" s="2"/>
      <c r="Y70" s="2"/>
      <c r="Z70" s="2"/>
    </row>
    <row r="71" spans="1:26">
      <c r="A71" s="2"/>
      <c r="B71" s="2"/>
      <c r="C71" s="2"/>
      <c r="D71" s="2"/>
      <c r="E71" s="2"/>
      <c r="F71" s="2"/>
      <c r="G71" s="2"/>
      <c r="H71" s="2"/>
      <c r="I71" s="2"/>
      <c r="J71" s="2"/>
      <c r="K71" s="2"/>
      <c r="L71" s="2"/>
      <c r="M71" s="2"/>
      <c r="N71" s="2"/>
      <c r="O71" s="2"/>
      <c r="P71" s="2"/>
      <c r="Q71" s="2"/>
      <c r="R71" s="2"/>
      <c r="S71" s="2"/>
      <c r="T71" s="2"/>
      <c r="U71" s="2"/>
      <c r="V71" s="2"/>
      <c r="W71" s="2"/>
      <c r="X71" s="2"/>
      <c r="Y71" s="2"/>
      <c r="Z71" s="2"/>
    </row>
    <row r="72" spans="1:26">
      <c r="A72" s="2"/>
      <c r="B72" s="2"/>
      <c r="C72" s="2"/>
      <c r="D72" s="2"/>
      <c r="E72" s="2"/>
      <c r="F72" s="2"/>
      <c r="G72" s="2"/>
      <c r="H72" s="2"/>
      <c r="I72" s="2"/>
      <c r="J72" s="2"/>
      <c r="K72" s="2"/>
      <c r="L72" s="2"/>
      <c r="M72" s="2"/>
      <c r="N72" s="2"/>
      <c r="O72" s="2"/>
      <c r="P72" s="2"/>
      <c r="Q72" s="2"/>
      <c r="R72" s="2"/>
      <c r="S72" s="2"/>
      <c r="T72" s="2"/>
      <c r="U72" s="2"/>
      <c r="V72" s="2"/>
      <c r="W72" s="2"/>
      <c r="X72" s="2"/>
      <c r="Y72" s="2"/>
      <c r="Z72" s="2"/>
    </row>
    <row r="73" spans="1:26">
      <c r="A73" s="2"/>
      <c r="B73" s="2"/>
      <c r="C73" s="2"/>
      <c r="D73" s="2"/>
      <c r="E73" s="2"/>
      <c r="F73" s="2"/>
      <c r="G73" s="2"/>
      <c r="H73" s="2"/>
      <c r="I73" s="2"/>
      <c r="J73" s="2"/>
      <c r="K73" s="2"/>
      <c r="L73" s="2"/>
      <c r="M73" s="2"/>
      <c r="N73" s="2"/>
      <c r="O73" s="2"/>
      <c r="P73" s="2"/>
      <c r="Q73" s="2"/>
      <c r="R73" s="2"/>
      <c r="S73" s="2"/>
      <c r="T73" s="2"/>
      <c r="U73" s="2"/>
      <c r="V73" s="2"/>
      <c r="W73" s="2"/>
      <c r="X73" s="2"/>
      <c r="Y73" s="2"/>
      <c r="Z73" s="2"/>
    </row>
    <row r="74" spans="1:26">
      <c r="A74" s="2"/>
      <c r="B74" s="2"/>
      <c r="C74" s="2"/>
      <c r="D74" s="2"/>
      <c r="E74" s="2"/>
      <c r="F74" s="2"/>
      <c r="G74" s="2"/>
      <c r="H74" s="2"/>
      <c r="I74" s="2"/>
      <c r="J74" s="2"/>
      <c r="K74" s="2"/>
      <c r="L74" s="2"/>
      <c r="M74" s="2"/>
      <c r="N74" s="2"/>
      <c r="O74" s="2"/>
      <c r="P74" s="2"/>
      <c r="Q74" s="2"/>
      <c r="R74" s="2"/>
      <c r="S74" s="2"/>
      <c r="T74" s="2"/>
      <c r="U74" s="2"/>
      <c r="V74" s="2"/>
      <c r="W74" s="2"/>
      <c r="X74" s="2"/>
      <c r="Y74" s="2"/>
      <c r="Z74" s="2"/>
    </row>
    <row r="75" spans="1:26">
      <c r="A75" s="2"/>
      <c r="B75" s="2"/>
      <c r="C75" s="2"/>
      <c r="D75" s="2"/>
      <c r="E75" s="2"/>
      <c r="F75" s="2"/>
      <c r="G75" s="2"/>
      <c r="H75" s="2"/>
      <c r="I75" s="2"/>
      <c r="J75" s="2"/>
      <c r="K75" s="2"/>
      <c r="L75" s="2"/>
      <c r="M75" s="2"/>
      <c r="N75" s="2"/>
      <c r="O75" s="2"/>
      <c r="P75" s="2"/>
      <c r="Q75" s="2"/>
      <c r="R75" s="2"/>
      <c r="S75" s="2"/>
      <c r="T75" s="2"/>
      <c r="U75" s="2"/>
      <c r="V75" s="2"/>
      <c r="W75" s="2"/>
      <c r="X75" s="2"/>
      <c r="Y75" s="2"/>
      <c r="Z75" s="2"/>
    </row>
    <row r="76" spans="1:26">
      <c r="A76" s="2"/>
      <c r="B76" s="2"/>
      <c r="C76" s="2"/>
      <c r="D76" s="2"/>
      <c r="E76" s="2"/>
      <c r="F76" s="2"/>
      <c r="G76" s="2"/>
      <c r="H76" s="2"/>
      <c r="I76" s="2"/>
      <c r="J76" s="2"/>
      <c r="K76" s="2"/>
      <c r="L76" s="2"/>
      <c r="M76" s="2"/>
      <c r="N76" s="2"/>
      <c r="O76" s="2"/>
      <c r="P76" s="2"/>
      <c r="Q76" s="2"/>
      <c r="R76" s="2"/>
      <c r="S76" s="2"/>
      <c r="T76" s="2"/>
      <c r="U76" s="2"/>
      <c r="V76" s="2"/>
      <c r="W76" s="2"/>
      <c r="X76" s="2"/>
      <c r="Y76" s="2"/>
      <c r="Z76" s="2"/>
    </row>
    <row r="77" spans="1:26">
      <c r="A77" s="2"/>
      <c r="B77" s="2"/>
      <c r="C77" s="2"/>
      <c r="D77" s="2"/>
      <c r="E77" s="2"/>
      <c r="F77" s="2"/>
      <c r="G77" s="2"/>
      <c r="H77" s="2"/>
      <c r="I77" s="2"/>
      <c r="J77" s="2"/>
      <c r="K77" s="2"/>
      <c r="L77" s="2"/>
      <c r="M77" s="2"/>
      <c r="N77" s="2"/>
      <c r="O77" s="2"/>
      <c r="P77" s="2"/>
      <c r="Q77" s="2"/>
      <c r="R77" s="2"/>
      <c r="S77" s="2"/>
      <c r="T77" s="2"/>
      <c r="U77" s="2"/>
      <c r="V77" s="2"/>
      <c r="W77" s="2"/>
      <c r="X77" s="2"/>
      <c r="Y77" s="2"/>
      <c r="Z77" s="2"/>
    </row>
    <row r="78" spans="1:26">
      <c r="A78" s="2"/>
      <c r="B78" s="2"/>
      <c r="C78" s="2"/>
      <c r="D78" s="2"/>
      <c r="E78" s="2"/>
      <c r="F78" s="2"/>
      <c r="G78" s="2"/>
      <c r="H78" s="2"/>
      <c r="I78" s="2"/>
      <c r="J78" s="2"/>
      <c r="K78" s="2"/>
      <c r="L78" s="2"/>
      <c r="M78" s="2"/>
      <c r="N78" s="2"/>
      <c r="O78" s="2"/>
      <c r="P78" s="2"/>
      <c r="Q78" s="2"/>
      <c r="R78" s="2"/>
      <c r="S78" s="2"/>
      <c r="T78" s="2"/>
      <c r="U78" s="2"/>
      <c r="V78" s="2"/>
      <c r="W78" s="2"/>
      <c r="X78" s="2"/>
      <c r="Y78" s="2"/>
      <c r="Z78" s="2"/>
    </row>
    <row r="79" spans="1:26">
      <c r="A79" s="2"/>
      <c r="B79" s="2"/>
      <c r="C79" s="2"/>
      <c r="D79" s="2"/>
      <c r="E79" s="2"/>
      <c r="F79" s="2"/>
      <c r="G79" s="2"/>
      <c r="H79" s="2"/>
      <c r="I79" s="2"/>
      <c r="J79" s="2"/>
      <c r="K79" s="2"/>
      <c r="L79" s="2"/>
      <c r="M79" s="2"/>
      <c r="N79" s="2"/>
      <c r="O79" s="2"/>
      <c r="P79" s="2"/>
      <c r="Q79" s="2"/>
      <c r="R79" s="2"/>
      <c r="S79" s="2"/>
      <c r="T79" s="2"/>
      <c r="U79" s="2"/>
      <c r="V79" s="2"/>
      <c r="W79" s="2"/>
      <c r="X79" s="2"/>
      <c r="Y79" s="2"/>
      <c r="Z79" s="2"/>
    </row>
    <row r="80" spans="1:26">
      <c r="A80" s="2"/>
      <c r="B80" s="2"/>
      <c r="C80" s="2"/>
      <c r="D80" s="2"/>
      <c r="E80" s="2"/>
      <c r="F80" s="2"/>
      <c r="G80" s="2"/>
      <c r="H80" s="2"/>
      <c r="I80" s="2"/>
      <c r="J80" s="2"/>
      <c r="K80" s="2"/>
      <c r="L80" s="2"/>
      <c r="M80" s="2"/>
      <c r="N80" s="2"/>
      <c r="O80" s="2"/>
      <c r="P80" s="2"/>
      <c r="Q80" s="2"/>
      <c r="R80" s="2"/>
      <c r="S80" s="2"/>
      <c r="T80" s="2"/>
      <c r="U80" s="2"/>
      <c r="V80" s="2"/>
      <c r="W80" s="2"/>
      <c r="X80" s="2"/>
      <c r="Y80" s="2"/>
      <c r="Z80" s="2"/>
    </row>
    <row r="81" spans="1:26">
      <c r="A81" s="2"/>
      <c r="B81" s="2"/>
      <c r="C81" s="2"/>
      <c r="D81" s="2"/>
      <c r="E81" s="2"/>
      <c r="F81" s="2"/>
      <c r="G81" s="2"/>
      <c r="H81" s="2"/>
      <c r="I81" s="2"/>
      <c r="J81" s="2"/>
      <c r="K81" s="2"/>
      <c r="L81" s="2"/>
      <c r="M81" s="2"/>
      <c r="N81" s="2"/>
      <c r="O81" s="2"/>
      <c r="P81" s="2"/>
      <c r="Q81" s="2"/>
      <c r="R81" s="2"/>
      <c r="S81" s="2"/>
      <c r="T81" s="2"/>
      <c r="U81" s="2"/>
      <c r="V81" s="2"/>
      <c r="W81" s="2"/>
      <c r="X81" s="2"/>
      <c r="Y81" s="2"/>
      <c r="Z81" s="2"/>
    </row>
    <row r="82" spans="1:26">
      <c r="A82" s="2"/>
      <c r="B82" s="2"/>
      <c r="C82" s="2"/>
      <c r="D82" s="2"/>
      <c r="E82" s="2"/>
      <c r="F82" s="2"/>
      <c r="G82" s="2"/>
      <c r="H82" s="2"/>
      <c r="I82" s="2"/>
      <c r="J82" s="2"/>
      <c r="K82" s="2"/>
      <c r="L82" s="2"/>
      <c r="M82" s="2"/>
      <c r="N82" s="2"/>
      <c r="O82" s="2"/>
      <c r="P82" s="2"/>
      <c r="Q82" s="2"/>
      <c r="R82" s="2"/>
      <c r="S82" s="2"/>
      <c r="T82" s="2"/>
      <c r="U82" s="2"/>
      <c r="V82" s="2"/>
      <c r="W82" s="2"/>
      <c r="X82" s="2"/>
      <c r="Y82" s="2"/>
      <c r="Z82" s="2"/>
    </row>
    <row r="83" spans="1:26">
      <c r="A83" s="2"/>
      <c r="B83" s="2"/>
      <c r="C83" s="2"/>
      <c r="D83" s="2"/>
      <c r="E83" s="2"/>
      <c r="F83" s="2"/>
      <c r="G83" s="2"/>
      <c r="H83" s="2"/>
      <c r="I83" s="2"/>
      <c r="J83" s="2"/>
      <c r="K83" s="2"/>
      <c r="L83" s="2"/>
      <c r="M83" s="2"/>
      <c r="N83" s="2"/>
      <c r="O83" s="2"/>
      <c r="P83" s="2"/>
      <c r="Q83" s="2"/>
      <c r="R83" s="2"/>
      <c r="S83" s="2"/>
      <c r="T83" s="2"/>
      <c r="U83" s="2"/>
      <c r="V83" s="2"/>
      <c r="W83" s="2"/>
      <c r="X83" s="2"/>
      <c r="Y83" s="2"/>
      <c r="Z83" s="2"/>
    </row>
    <row r="84" spans="1:26">
      <c r="A84" s="2"/>
      <c r="B84" s="2"/>
      <c r="C84" s="2"/>
      <c r="D84" s="2"/>
      <c r="E84" s="2"/>
      <c r="F84" s="2"/>
      <c r="G84" s="2"/>
      <c r="H84" s="2"/>
      <c r="I84" s="2"/>
      <c r="J84" s="2"/>
      <c r="K84" s="2"/>
      <c r="L84" s="2"/>
      <c r="M84" s="2"/>
      <c r="N84" s="2"/>
      <c r="O84" s="2"/>
      <c r="P84" s="2"/>
      <c r="Q84" s="2"/>
      <c r="R84" s="2"/>
      <c r="S84" s="2"/>
      <c r="T84" s="2"/>
      <c r="U84" s="2"/>
      <c r="V84" s="2"/>
      <c r="W84" s="2"/>
      <c r="X84" s="2"/>
      <c r="Y84" s="2"/>
      <c r="Z84" s="2"/>
    </row>
    <row r="85" spans="1:26">
      <c r="A85" s="2"/>
      <c r="B85" s="2"/>
      <c r="C85" s="2"/>
      <c r="D85" s="2"/>
      <c r="E85" s="2"/>
      <c r="F85" s="2"/>
      <c r="G85" s="2"/>
      <c r="H85" s="2"/>
      <c r="I85" s="2"/>
      <c r="J85" s="2"/>
      <c r="K85" s="2"/>
      <c r="L85" s="2"/>
      <c r="M85" s="2"/>
      <c r="N85" s="2"/>
      <c r="O85" s="2"/>
      <c r="P85" s="2"/>
      <c r="Q85" s="2"/>
      <c r="R85" s="2"/>
      <c r="S85" s="2"/>
      <c r="T85" s="2"/>
      <c r="U85" s="2"/>
      <c r="V85" s="2"/>
      <c r="W85" s="2"/>
      <c r="X85" s="2"/>
      <c r="Y85" s="2"/>
      <c r="Z85" s="2"/>
    </row>
    <row r="86" spans="1:26">
      <c r="A86" s="2"/>
      <c r="B86" s="2"/>
      <c r="C86" s="2"/>
      <c r="D86" s="2"/>
      <c r="E86" s="2"/>
      <c r="F86" s="2"/>
      <c r="G86" s="2"/>
      <c r="H86" s="2"/>
      <c r="I86" s="2"/>
      <c r="J86" s="2"/>
      <c r="K86" s="2"/>
      <c r="L86" s="2"/>
      <c r="M86" s="2"/>
      <c r="N86" s="2"/>
      <c r="O86" s="2"/>
      <c r="P86" s="2"/>
      <c r="Q86" s="2"/>
      <c r="R86" s="2"/>
      <c r="S86" s="2"/>
      <c r="T86" s="2"/>
      <c r="U86" s="2"/>
      <c r="V86" s="2"/>
      <c r="W86" s="2"/>
      <c r="X86" s="2"/>
      <c r="Y86" s="2"/>
      <c r="Z86" s="2"/>
    </row>
    <row r="87" spans="1:26">
      <c r="A87" s="2"/>
      <c r="B87" s="2"/>
      <c r="C87" s="2"/>
      <c r="D87" s="2"/>
      <c r="E87" s="2"/>
      <c r="F87" s="2"/>
      <c r="G87" s="2"/>
      <c r="H87" s="2"/>
      <c r="I87" s="2"/>
      <c r="J87" s="2"/>
      <c r="K87" s="2"/>
      <c r="L87" s="2"/>
      <c r="M87" s="2"/>
      <c r="N87" s="2"/>
      <c r="O87" s="2"/>
      <c r="P87" s="2"/>
      <c r="Q87" s="2"/>
      <c r="R87" s="2"/>
      <c r="S87" s="2"/>
      <c r="T87" s="2"/>
      <c r="U87" s="2"/>
      <c r="V87" s="2"/>
      <c r="W87" s="2"/>
      <c r="X87" s="2"/>
      <c r="Y87" s="2"/>
      <c r="Z87" s="2"/>
    </row>
    <row r="88" spans="1:26">
      <c r="A88" s="2"/>
      <c r="B88" s="2"/>
      <c r="C88" s="2"/>
      <c r="D88" s="2"/>
      <c r="E88" s="2"/>
      <c r="F88" s="2"/>
      <c r="G88" s="2"/>
      <c r="H88" s="2"/>
      <c r="I88" s="2"/>
      <c r="J88" s="2"/>
      <c r="K88" s="2"/>
      <c r="L88" s="2"/>
      <c r="M88" s="2"/>
      <c r="N88" s="2"/>
      <c r="O88" s="2"/>
      <c r="P88" s="2"/>
      <c r="Q88" s="2"/>
      <c r="R88" s="2"/>
      <c r="S88" s="2"/>
      <c r="T88" s="2"/>
      <c r="U88" s="2"/>
      <c r="V88" s="2"/>
      <c r="W88" s="2"/>
      <c r="X88" s="2"/>
      <c r="Y88" s="2"/>
      <c r="Z88" s="2"/>
    </row>
    <row r="89" spans="1:26">
      <c r="A89" s="2"/>
      <c r="B89" s="2"/>
      <c r="C89" s="2"/>
      <c r="D89" s="2"/>
      <c r="E89" s="2"/>
      <c r="F89" s="2"/>
      <c r="G89" s="2"/>
      <c r="H89" s="2"/>
      <c r="I89" s="2"/>
      <c r="J89" s="2"/>
      <c r="K89" s="2"/>
      <c r="L89" s="2"/>
      <c r="M89" s="2"/>
      <c r="N89" s="2"/>
      <c r="O89" s="2"/>
      <c r="P89" s="2"/>
      <c r="Q89" s="2"/>
      <c r="R89" s="2"/>
      <c r="S89" s="2"/>
      <c r="T89" s="2"/>
      <c r="U89" s="2"/>
      <c r="V89" s="2"/>
      <c r="W89" s="2"/>
      <c r="X89" s="2"/>
      <c r="Y89" s="2"/>
      <c r="Z89" s="2"/>
    </row>
    <row r="90" spans="1:26">
      <c r="A90" s="2"/>
      <c r="B90" s="2"/>
      <c r="C90" s="2"/>
      <c r="D90" s="2"/>
      <c r="E90" s="2"/>
      <c r="F90" s="2"/>
      <c r="G90" s="2"/>
      <c r="H90" s="2"/>
      <c r="I90" s="2"/>
      <c r="J90" s="2"/>
      <c r="K90" s="2"/>
      <c r="L90" s="2"/>
      <c r="M90" s="2"/>
      <c r="N90" s="2"/>
      <c r="O90" s="2"/>
      <c r="P90" s="2"/>
      <c r="Q90" s="2"/>
      <c r="R90" s="2"/>
      <c r="S90" s="2"/>
      <c r="T90" s="2"/>
      <c r="U90" s="2"/>
      <c r="V90" s="2"/>
      <c r="W90" s="2"/>
      <c r="X90" s="2"/>
      <c r="Y90" s="2"/>
      <c r="Z90" s="2"/>
    </row>
    <row r="91" spans="1:26">
      <c r="A91" s="2"/>
      <c r="B91" s="2"/>
      <c r="C91" s="2"/>
      <c r="D91" s="2"/>
      <c r="E91" s="2"/>
      <c r="F91" s="2"/>
      <c r="G91" s="2"/>
      <c r="H91" s="2"/>
      <c r="I91" s="2"/>
      <c r="J91" s="2"/>
      <c r="K91" s="2"/>
      <c r="L91" s="2"/>
      <c r="M91" s="2"/>
      <c r="N91" s="2"/>
      <c r="O91" s="2"/>
      <c r="P91" s="2"/>
      <c r="Q91" s="2"/>
      <c r="R91" s="2"/>
      <c r="S91" s="2"/>
      <c r="T91" s="2"/>
      <c r="U91" s="2"/>
      <c r="V91" s="2"/>
      <c r="W91" s="2"/>
      <c r="X91" s="2"/>
      <c r="Y91" s="2"/>
      <c r="Z91" s="2"/>
    </row>
    <row r="92" spans="1:26">
      <c r="A92" s="2"/>
      <c r="B92" s="2"/>
      <c r="C92" s="2"/>
      <c r="D92" s="2"/>
      <c r="E92" s="2"/>
      <c r="F92" s="2"/>
      <c r="G92" s="2"/>
      <c r="H92" s="2"/>
      <c r="I92" s="2"/>
      <c r="J92" s="2"/>
      <c r="K92" s="2"/>
      <c r="L92" s="2"/>
      <c r="M92" s="2"/>
      <c r="N92" s="2"/>
      <c r="O92" s="2"/>
      <c r="P92" s="2"/>
      <c r="Q92" s="2"/>
      <c r="R92" s="2"/>
      <c r="S92" s="2"/>
      <c r="T92" s="2"/>
      <c r="U92" s="2"/>
      <c r="V92" s="2"/>
      <c r="W92" s="2"/>
      <c r="X92" s="2"/>
      <c r="Y92" s="2"/>
      <c r="Z92" s="2"/>
    </row>
    <row r="93" spans="1:26">
      <c r="A93" s="2"/>
      <c r="B93" s="2"/>
      <c r="C93" s="2"/>
      <c r="D93" s="2"/>
      <c r="E93" s="2"/>
      <c r="F93" s="2"/>
      <c r="G93" s="2"/>
      <c r="H93" s="2"/>
      <c r="I93" s="2"/>
      <c r="J93" s="2"/>
      <c r="K93" s="2"/>
      <c r="L93" s="2"/>
      <c r="M93" s="2"/>
      <c r="N93" s="2"/>
      <c r="O93" s="2"/>
      <c r="P93" s="2"/>
      <c r="Q93" s="2"/>
      <c r="R93" s="2"/>
      <c r="S93" s="2"/>
      <c r="T93" s="2"/>
      <c r="U93" s="2"/>
      <c r="V93" s="2"/>
      <c r="W93" s="2"/>
      <c r="X93" s="2"/>
      <c r="Y93" s="2"/>
      <c r="Z93" s="2"/>
    </row>
    <row r="94" spans="1:26">
      <c r="A94" s="2"/>
      <c r="B94" s="2"/>
      <c r="C94" s="2"/>
      <c r="D94" s="2"/>
      <c r="E94" s="2"/>
      <c r="F94" s="2"/>
      <c r="G94" s="2"/>
      <c r="H94" s="2"/>
      <c r="I94" s="2"/>
      <c r="J94" s="2"/>
      <c r="K94" s="2"/>
      <c r="L94" s="2"/>
      <c r="M94" s="2"/>
      <c r="N94" s="2"/>
      <c r="O94" s="2"/>
      <c r="P94" s="2"/>
      <c r="Q94" s="2"/>
      <c r="R94" s="2"/>
      <c r="S94" s="2"/>
      <c r="T94" s="2"/>
      <c r="U94" s="2"/>
      <c r="V94" s="2"/>
      <c r="W94" s="2"/>
      <c r="X94" s="2"/>
      <c r="Y94" s="2"/>
      <c r="Z94" s="2"/>
    </row>
    <row r="95" spans="1:26">
      <c r="A95" s="2"/>
      <c r="B95" s="2"/>
      <c r="C95" s="2"/>
      <c r="D95" s="2"/>
      <c r="E95" s="2"/>
      <c r="F95" s="2"/>
      <c r="G95" s="2"/>
      <c r="H95" s="2"/>
      <c r="I95" s="2"/>
      <c r="J95" s="2"/>
      <c r="K95" s="2"/>
      <c r="L95" s="2"/>
      <c r="M95" s="2"/>
      <c r="N95" s="2"/>
      <c r="O95" s="2"/>
      <c r="P95" s="2"/>
      <c r="Q95" s="2"/>
      <c r="R95" s="2"/>
      <c r="S95" s="2"/>
      <c r="T95" s="2"/>
      <c r="U95" s="2"/>
      <c r="V95" s="2"/>
      <c r="W95" s="2"/>
      <c r="X95" s="2"/>
      <c r="Y95" s="2"/>
      <c r="Z95" s="2"/>
    </row>
    <row r="96" spans="1:26">
      <c r="A96" s="2"/>
      <c r="B96" s="2"/>
      <c r="C96" s="2"/>
      <c r="D96" s="2"/>
      <c r="E96" s="2"/>
      <c r="F96" s="2"/>
      <c r="G96" s="2"/>
      <c r="H96" s="2"/>
      <c r="I96" s="2"/>
      <c r="J96" s="2"/>
      <c r="K96" s="2"/>
      <c r="L96" s="2"/>
      <c r="M96" s="2"/>
      <c r="N96" s="2"/>
      <c r="O96" s="2"/>
      <c r="P96" s="2"/>
      <c r="Q96" s="2"/>
      <c r="R96" s="2"/>
      <c r="S96" s="2"/>
      <c r="T96" s="2"/>
      <c r="U96" s="2"/>
      <c r="V96" s="2"/>
      <c r="W96" s="2"/>
      <c r="X96" s="2"/>
      <c r="Y96" s="2"/>
      <c r="Z96" s="2"/>
    </row>
    <row r="97" spans="1:26">
      <c r="A97" s="2"/>
      <c r="B97" s="2"/>
      <c r="C97" s="2"/>
      <c r="D97" s="2"/>
      <c r="E97" s="2"/>
      <c r="F97" s="2"/>
      <c r="G97" s="2"/>
      <c r="H97" s="2"/>
      <c r="I97" s="2"/>
      <c r="J97" s="2"/>
      <c r="K97" s="2"/>
      <c r="L97" s="2"/>
      <c r="M97" s="2"/>
      <c r="N97" s="2"/>
      <c r="O97" s="2"/>
      <c r="P97" s="2"/>
      <c r="Q97" s="2"/>
      <c r="R97" s="2"/>
      <c r="S97" s="2"/>
      <c r="T97" s="2"/>
      <c r="U97" s="2"/>
      <c r="V97" s="2"/>
      <c r="W97" s="2"/>
      <c r="X97" s="2"/>
      <c r="Y97" s="2"/>
      <c r="Z97" s="2"/>
    </row>
    <row r="98" spans="1:26">
      <c r="A98" s="2"/>
      <c r="B98" s="2"/>
      <c r="C98" s="2"/>
      <c r="D98" s="2"/>
      <c r="E98" s="2"/>
      <c r="F98" s="2"/>
      <c r="G98" s="2"/>
      <c r="H98" s="2"/>
      <c r="I98" s="2"/>
      <c r="J98" s="2"/>
      <c r="K98" s="2"/>
      <c r="L98" s="2"/>
      <c r="M98" s="2"/>
      <c r="N98" s="2"/>
      <c r="O98" s="2"/>
      <c r="P98" s="2"/>
      <c r="Q98" s="2"/>
      <c r="R98" s="2"/>
      <c r="S98" s="2"/>
      <c r="T98" s="2"/>
      <c r="U98" s="2"/>
      <c r="V98" s="2"/>
      <c r="W98" s="2"/>
      <c r="X98" s="2"/>
      <c r="Y98" s="2"/>
      <c r="Z98" s="2"/>
    </row>
    <row r="99" spans="1:26">
      <c r="A99" s="2"/>
      <c r="B99" s="2"/>
      <c r="C99" s="2"/>
      <c r="D99" s="2"/>
      <c r="E99" s="2"/>
      <c r="F99" s="2"/>
      <c r="G99" s="2"/>
      <c r="H99" s="2"/>
      <c r="I99" s="2"/>
      <c r="J99" s="2"/>
      <c r="K99" s="2"/>
      <c r="L99" s="2"/>
      <c r="M99" s="2"/>
      <c r="N99" s="2"/>
      <c r="O99" s="2"/>
      <c r="P99" s="2"/>
      <c r="Q99" s="2"/>
      <c r="R99" s="2"/>
      <c r="S99" s="2"/>
      <c r="T99" s="2"/>
      <c r="U99" s="2"/>
      <c r="V99" s="2"/>
      <c r="W99" s="2"/>
      <c r="X99" s="2"/>
      <c r="Y99" s="2"/>
      <c r="Z99" s="2"/>
    </row>
    <row r="100" spans="1:26">
      <c r="A100" s="2"/>
      <c r="B100" s="2"/>
      <c r="C100" s="2"/>
      <c r="D100" s="2"/>
      <c r="E100" s="2"/>
      <c r="F100" s="2"/>
      <c r="G100" s="2"/>
      <c r="H100" s="2"/>
      <c r="I100" s="2"/>
      <c r="J100" s="2"/>
      <c r="K100" s="2"/>
      <c r="L100" s="2"/>
      <c r="M100" s="2"/>
      <c r="N100" s="2"/>
      <c r="O100" s="2"/>
      <c r="P100" s="2"/>
      <c r="Q100" s="2"/>
      <c r="R100" s="2"/>
      <c r="S100" s="2"/>
      <c r="T100" s="2"/>
      <c r="U100" s="2"/>
      <c r="V100" s="2"/>
      <c r="W100" s="2"/>
      <c r="X100" s="2"/>
      <c r="Y100" s="2"/>
      <c r="Z100" s="2"/>
    </row>
  </sheetData>
  <mergeCells count="1">
    <mergeCell ref="A1:H2"/>
  </mergeCells>
  <conditionalFormatting sqref="F5:F10">
    <cfRule type="dataBar" priority="1">
      <dataBar>
        <cfvo type="min"/>
        <cfvo type="max"/>
        <color rgb="FF4F81BD"/>
      </dataBar>
      <extLst>
        <ext xmlns:x14="http://schemas.microsoft.com/office/spreadsheetml/2009/9/main" uri="{B025F937-C7B1-47D3-B67F-A62EFF666E3E}">
          <x14:id>{e5cc597c-bca7-40af-b6ca-71f6f71df062}</x14:id>
        </ext>
      </extLst>
    </cfRule>
  </conditionalFormatting>
  <dataValidations count="1">
    <dataValidation type="list" sqref="E5:E10">
      <formula1>"Not Started,In Progress,Blocked,Done"</formula1>
    </dataValidation>
  </dataValidations>
  <pageMargins left="0.7" right="0.7" top="0.75" bottom="0.75" header="0.3" footer="0.3"/>
  <headerFooter/>
  <tableParts count="1">
    <tablePart r:id="rId1"/>
  </tableParts>
  <extLst>
    <ext xmlns:x14="http://schemas.microsoft.com/office/spreadsheetml/2009/9/main" uri="{78C0D931-6437-407d-A8EE-F0AAD7539E65}">
      <x14:conditionalFormattings>
        <x14:conditionalFormatting xmlns:xm="http://schemas.microsoft.com/office/excel/2006/main">
          <x14:cfRule type="dataBar" id="{e5cc597c-bca7-40af-b6ca-71f6f71df062}">
            <x14:dataBar minLength="10" maxLength="90" negativeBarColorSameAsPositive="1">
              <x14:cfvo type="min"/>
              <x14:cfvo type="max"/>
              <x14:axisColor indexed="65"/>
            </x14:dataBar>
          </x14:cfRule>
          <xm:sqref>F5:F10</xm:sqref>
        </x14:conditionalFormatting>
      </x14:conditionalFormattings>
    </ext>
  </extLst>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Z100"/>
  <sheetViews>
    <sheetView workbookViewId="0">
      <selection activeCell="A1" sqref="A1:G2"/>
    </sheetView>
  </sheetViews>
  <sheetFormatPr defaultColWidth="9" defaultRowHeight="14.25"/>
  <cols>
    <col min="1" max="1" width="20" customWidth="1"/>
    <col min="2" max="2" width="28" customWidth="1"/>
    <col min="3" max="3" width="44" customWidth="1"/>
    <col min="4" max="4" width="32" customWidth="1"/>
    <col min="5" max="5" width="44" customWidth="1"/>
    <col min="6" max="6" width="32" customWidth="1"/>
    <col min="7" max="7" width="40" customWidth="1"/>
  </cols>
  <sheetData>
    <row r="1" spans="1:26">
      <c r="A1" s="1" t="s">
        <v>254</v>
      </c>
      <c r="B1" s="1"/>
      <c r="C1" s="1"/>
      <c r="D1" s="1"/>
      <c r="E1" s="1"/>
      <c r="F1" s="1"/>
      <c r="G1" s="1"/>
      <c r="H1" s="2"/>
      <c r="I1" s="2"/>
      <c r="J1" s="2"/>
      <c r="K1" s="2"/>
      <c r="L1" s="2"/>
      <c r="M1" s="2"/>
      <c r="N1" s="2"/>
      <c r="O1" s="2"/>
      <c r="P1" s="2"/>
      <c r="Q1" s="2"/>
      <c r="R1" s="2"/>
      <c r="S1" s="2"/>
      <c r="T1" s="2"/>
      <c r="U1" s="2"/>
      <c r="V1" s="2"/>
      <c r="W1" s="2"/>
      <c r="X1" s="2"/>
      <c r="Y1" s="2"/>
      <c r="Z1" s="2"/>
    </row>
    <row r="2" spans="1:26">
      <c r="A2" s="1"/>
      <c r="B2" s="1"/>
      <c r="C2" s="1"/>
      <c r="D2" s="1"/>
      <c r="E2" s="1"/>
      <c r="F2" s="1"/>
      <c r="G2" s="1"/>
      <c r="H2" s="2"/>
      <c r="I2" s="2"/>
      <c r="J2" s="2"/>
      <c r="K2" s="2"/>
      <c r="L2" s="2"/>
      <c r="M2" s="2"/>
      <c r="N2" s="2"/>
      <c r="O2" s="2"/>
      <c r="P2" s="2"/>
      <c r="Q2" s="2"/>
      <c r="R2" s="2"/>
      <c r="S2" s="2"/>
      <c r="T2" s="2"/>
      <c r="U2" s="2"/>
      <c r="V2" s="2"/>
      <c r="W2" s="2"/>
      <c r="X2" s="2"/>
      <c r="Y2" s="2"/>
      <c r="Z2" s="2"/>
    </row>
    <row r="3" spans="1:26">
      <c r="A3" s="2"/>
      <c r="B3" s="2"/>
      <c r="C3" s="2"/>
      <c r="D3" s="2"/>
      <c r="E3" s="2"/>
      <c r="F3" s="2"/>
      <c r="G3" s="2"/>
      <c r="H3" s="2"/>
      <c r="I3" s="2"/>
      <c r="J3" s="2"/>
      <c r="K3" s="2"/>
      <c r="L3" s="2"/>
      <c r="M3" s="2"/>
      <c r="N3" s="2"/>
      <c r="O3" s="2"/>
      <c r="P3" s="2"/>
      <c r="Q3" s="2"/>
      <c r="R3" s="2"/>
      <c r="S3" s="2"/>
      <c r="T3" s="2"/>
      <c r="U3" s="2"/>
      <c r="V3" s="2"/>
      <c r="W3" s="2"/>
      <c r="X3" s="2"/>
      <c r="Y3" s="2"/>
      <c r="Z3" s="2"/>
    </row>
    <row r="4" ht="15" spans="1:26">
      <c r="A4" s="3" t="s">
        <v>255</v>
      </c>
      <c r="B4" s="3" t="s">
        <v>29</v>
      </c>
      <c r="C4" s="3" t="s">
        <v>256</v>
      </c>
      <c r="D4" s="3" t="s">
        <v>257</v>
      </c>
      <c r="E4" s="3" t="s">
        <v>258</v>
      </c>
      <c r="F4" s="3" t="s">
        <v>259</v>
      </c>
      <c r="G4" s="3" t="s">
        <v>260</v>
      </c>
      <c r="H4" s="2"/>
      <c r="I4" s="2"/>
      <c r="J4" s="2"/>
      <c r="K4" s="2"/>
      <c r="L4" s="2"/>
      <c r="M4" s="2"/>
      <c r="N4" s="2"/>
      <c r="O4" s="2"/>
      <c r="P4" s="2"/>
      <c r="Q4" s="2"/>
      <c r="R4" s="2"/>
      <c r="S4" s="2"/>
      <c r="T4" s="2"/>
      <c r="U4" s="2"/>
      <c r="V4" s="2"/>
      <c r="W4" s="2"/>
      <c r="X4" s="2"/>
      <c r="Y4" s="2"/>
      <c r="Z4" s="2"/>
    </row>
    <row r="5" ht="42.75" spans="1:26">
      <c r="A5" s="4" t="s">
        <v>82</v>
      </c>
      <c r="B5" s="4" t="s">
        <v>261</v>
      </c>
      <c r="C5" s="4" t="s">
        <v>262</v>
      </c>
      <c r="D5" s="4" t="s">
        <v>263</v>
      </c>
      <c r="E5" s="4" t="s">
        <v>264</v>
      </c>
      <c r="F5" s="4" t="s">
        <v>265</v>
      </c>
      <c r="G5" s="4" t="s">
        <v>266</v>
      </c>
      <c r="H5" s="2"/>
      <c r="I5" s="2"/>
      <c r="J5" s="2"/>
      <c r="K5" s="2"/>
      <c r="L5" s="2"/>
      <c r="M5" s="2"/>
      <c r="N5" s="2"/>
      <c r="O5" s="2"/>
      <c r="P5" s="2"/>
      <c r="Q5" s="2"/>
      <c r="R5" s="2"/>
      <c r="S5" s="2"/>
      <c r="T5" s="2"/>
      <c r="U5" s="2"/>
      <c r="V5" s="2"/>
      <c r="W5" s="2"/>
      <c r="X5" s="2"/>
      <c r="Y5" s="2"/>
      <c r="Z5" s="2"/>
    </row>
    <row r="6" ht="28.5" spans="1:26">
      <c r="A6" s="4" t="s">
        <v>83</v>
      </c>
      <c r="B6" s="4" t="s">
        <v>267</v>
      </c>
      <c r="C6" s="4" t="s">
        <v>268</v>
      </c>
      <c r="D6" s="4" t="s">
        <v>269</v>
      </c>
      <c r="E6" s="4" t="s">
        <v>270</v>
      </c>
      <c r="F6" s="4" t="s">
        <v>271</v>
      </c>
      <c r="G6" s="4" t="s">
        <v>272</v>
      </c>
      <c r="H6" s="2"/>
      <c r="I6" s="2"/>
      <c r="J6" s="2"/>
      <c r="K6" s="2"/>
      <c r="L6" s="2"/>
      <c r="M6" s="2"/>
      <c r="N6" s="2"/>
      <c r="O6" s="2"/>
      <c r="P6" s="2"/>
      <c r="Q6" s="2"/>
      <c r="R6" s="2"/>
      <c r="S6" s="2"/>
      <c r="T6" s="2"/>
      <c r="U6" s="2"/>
      <c r="V6" s="2"/>
      <c r="W6" s="2"/>
      <c r="X6" s="2"/>
      <c r="Y6" s="2"/>
      <c r="Z6" s="2"/>
    </row>
    <row r="7" ht="42.75" spans="1:26">
      <c r="A7" s="4" t="s">
        <v>81</v>
      </c>
      <c r="B7" s="4" t="s">
        <v>273</v>
      </c>
      <c r="C7" s="4" t="s">
        <v>274</v>
      </c>
      <c r="D7" s="4" t="s">
        <v>275</v>
      </c>
      <c r="E7" s="4" t="s">
        <v>276</v>
      </c>
      <c r="F7" s="4" t="s">
        <v>277</v>
      </c>
      <c r="G7" s="4" t="s">
        <v>278</v>
      </c>
      <c r="H7" s="2"/>
      <c r="I7" s="2"/>
      <c r="J7" s="2"/>
      <c r="K7" s="2"/>
      <c r="L7" s="2"/>
      <c r="M7" s="2"/>
      <c r="N7" s="2"/>
      <c r="O7" s="2"/>
      <c r="P7" s="2"/>
      <c r="Q7" s="2"/>
      <c r="R7" s="2"/>
      <c r="S7" s="2"/>
      <c r="T7" s="2"/>
      <c r="U7" s="2"/>
      <c r="V7" s="2"/>
      <c r="W7" s="2"/>
      <c r="X7" s="2"/>
      <c r="Y7" s="2"/>
      <c r="Z7" s="2"/>
    </row>
    <row r="8" ht="28.5" spans="1:26">
      <c r="A8" s="4" t="s">
        <v>104</v>
      </c>
      <c r="B8" s="4" t="s">
        <v>279</v>
      </c>
      <c r="C8" s="4" t="s">
        <v>280</v>
      </c>
      <c r="D8" s="4" t="s">
        <v>281</v>
      </c>
      <c r="E8" s="4" t="s">
        <v>282</v>
      </c>
      <c r="F8" s="4" t="s">
        <v>283</v>
      </c>
      <c r="G8" s="4" t="s">
        <v>284</v>
      </c>
      <c r="H8" s="2"/>
      <c r="I8" s="2"/>
      <c r="J8" s="2"/>
      <c r="K8" s="2"/>
      <c r="L8" s="2"/>
      <c r="M8" s="2"/>
      <c r="N8" s="2"/>
      <c r="O8" s="2"/>
      <c r="P8" s="2"/>
      <c r="Q8" s="2"/>
      <c r="R8" s="2"/>
      <c r="S8" s="2"/>
      <c r="T8" s="2"/>
      <c r="U8" s="2"/>
      <c r="V8" s="2"/>
      <c r="W8" s="2"/>
      <c r="X8" s="2"/>
      <c r="Y8" s="2"/>
      <c r="Z8" s="2"/>
    </row>
    <row r="9" spans="1:26">
      <c r="A9" s="2"/>
      <c r="B9" s="2"/>
      <c r="C9" s="2"/>
      <c r="D9" s="2"/>
      <c r="E9" s="2"/>
      <c r="F9" s="2"/>
      <c r="G9" s="2"/>
      <c r="H9" s="2"/>
      <c r="I9" s="2"/>
      <c r="J9" s="2"/>
      <c r="K9" s="2"/>
      <c r="L9" s="2"/>
      <c r="M9" s="2"/>
      <c r="N9" s="2"/>
      <c r="O9" s="2"/>
      <c r="P9" s="2"/>
      <c r="Q9" s="2"/>
      <c r="R9" s="2"/>
      <c r="S9" s="2"/>
      <c r="T9" s="2"/>
      <c r="U9" s="2"/>
      <c r="V9" s="2"/>
      <c r="W9" s="2"/>
      <c r="X9" s="2"/>
      <c r="Y9" s="2"/>
      <c r="Z9" s="2"/>
    </row>
    <row r="10" ht="15" spans="1:26">
      <c r="A10" s="5" t="s">
        <v>285</v>
      </c>
      <c r="B10" s="5"/>
      <c r="C10" s="5"/>
      <c r="D10" s="5"/>
      <c r="E10" s="5"/>
      <c r="F10" s="5"/>
      <c r="G10" s="5"/>
      <c r="H10" s="2"/>
      <c r="I10" s="2"/>
      <c r="J10" s="2"/>
      <c r="K10" s="2"/>
      <c r="L10" s="2"/>
      <c r="M10" s="2"/>
      <c r="N10" s="2"/>
      <c r="O10" s="2"/>
      <c r="P10" s="2"/>
      <c r="Q10" s="2"/>
      <c r="R10" s="2"/>
      <c r="S10" s="2"/>
      <c r="T10" s="2"/>
      <c r="U10" s="2"/>
      <c r="V10" s="2"/>
      <c r="W10" s="2"/>
      <c r="X10" s="2"/>
      <c r="Y10" s="2"/>
      <c r="Z10" s="2"/>
    </row>
    <row r="11" spans="1:26">
      <c r="A11" s="6" t="s">
        <v>286</v>
      </c>
      <c r="B11" s="6"/>
      <c r="C11" s="6"/>
      <c r="D11" s="6"/>
      <c r="E11" s="6"/>
      <c r="F11" s="6"/>
      <c r="G11" s="6"/>
      <c r="H11" s="2"/>
      <c r="I11" s="2"/>
      <c r="J11" s="2"/>
      <c r="K11" s="2"/>
      <c r="L11" s="2"/>
      <c r="M11" s="2"/>
      <c r="N11" s="2"/>
      <c r="O11" s="2"/>
      <c r="P11" s="2"/>
      <c r="Q11" s="2"/>
      <c r="R11" s="2"/>
      <c r="S11" s="2"/>
      <c r="T11" s="2"/>
      <c r="U11" s="2"/>
      <c r="V11" s="2"/>
      <c r="W11" s="2"/>
      <c r="X11" s="2"/>
      <c r="Y11" s="2"/>
      <c r="Z11" s="2"/>
    </row>
    <row r="12" spans="1:26">
      <c r="A12" s="6"/>
      <c r="B12" s="6"/>
      <c r="C12" s="6"/>
      <c r="D12" s="6"/>
      <c r="E12" s="6"/>
      <c r="F12" s="6"/>
      <c r="G12" s="6"/>
      <c r="H12" s="2"/>
      <c r="I12" s="2"/>
      <c r="J12" s="2"/>
      <c r="K12" s="2"/>
      <c r="L12" s="2"/>
      <c r="M12" s="2"/>
      <c r="N12" s="2"/>
      <c r="O12" s="2"/>
      <c r="P12" s="2"/>
      <c r="Q12" s="2"/>
      <c r="R12" s="2"/>
      <c r="S12" s="2"/>
      <c r="T12" s="2"/>
      <c r="U12" s="2"/>
      <c r="V12" s="2"/>
      <c r="W12" s="2"/>
      <c r="X12" s="2"/>
      <c r="Y12" s="2"/>
      <c r="Z12" s="2"/>
    </row>
    <row r="13" spans="1:26">
      <c r="A13" s="6"/>
      <c r="B13" s="6"/>
      <c r="C13" s="6"/>
      <c r="D13" s="6"/>
      <c r="E13" s="6"/>
      <c r="F13" s="6"/>
      <c r="G13" s="6"/>
      <c r="H13" s="2"/>
      <c r="I13" s="2"/>
      <c r="J13" s="2"/>
      <c r="K13" s="2"/>
      <c r="L13" s="2"/>
      <c r="M13" s="2"/>
      <c r="N13" s="2"/>
      <c r="O13" s="2"/>
      <c r="P13" s="2"/>
      <c r="Q13" s="2"/>
      <c r="R13" s="2"/>
      <c r="S13" s="2"/>
      <c r="T13" s="2"/>
      <c r="U13" s="2"/>
      <c r="V13" s="2"/>
      <c r="W13" s="2"/>
      <c r="X13" s="2"/>
      <c r="Y13" s="2"/>
      <c r="Z13" s="2"/>
    </row>
    <row r="14" spans="1:26">
      <c r="A14" s="6"/>
      <c r="B14" s="6"/>
      <c r="C14" s="6"/>
      <c r="D14" s="6"/>
      <c r="E14" s="6"/>
      <c r="F14" s="6"/>
      <c r="G14" s="6"/>
      <c r="H14" s="2"/>
      <c r="I14" s="2"/>
      <c r="J14" s="2"/>
      <c r="K14" s="2"/>
      <c r="L14" s="2"/>
      <c r="M14" s="2"/>
      <c r="N14" s="2"/>
      <c r="O14" s="2"/>
      <c r="P14" s="2"/>
      <c r="Q14" s="2"/>
      <c r="R14" s="2"/>
      <c r="S14" s="2"/>
      <c r="T14" s="2"/>
      <c r="U14" s="2"/>
      <c r="V14" s="2"/>
      <c r="W14" s="2"/>
      <c r="X14" s="2"/>
      <c r="Y14" s="2"/>
      <c r="Z14" s="2"/>
    </row>
    <row r="15" spans="1:26">
      <c r="A15" s="2"/>
      <c r="B15" s="2"/>
      <c r="C15" s="2"/>
      <c r="D15" s="2"/>
      <c r="E15" s="2"/>
      <c r="F15" s="2"/>
      <c r="G15" s="2"/>
      <c r="H15" s="2"/>
      <c r="I15" s="2"/>
      <c r="J15" s="2"/>
      <c r="K15" s="2"/>
      <c r="L15" s="2"/>
      <c r="M15" s="2"/>
      <c r="N15" s="2"/>
      <c r="O15" s="2"/>
      <c r="P15" s="2"/>
      <c r="Q15" s="2"/>
      <c r="R15" s="2"/>
      <c r="S15" s="2"/>
      <c r="T15" s="2"/>
      <c r="U15" s="2"/>
      <c r="V15" s="2"/>
      <c r="W15" s="2"/>
      <c r="X15" s="2"/>
      <c r="Y15" s="2"/>
      <c r="Z15" s="2"/>
    </row>
    <row r="16" spans="1:26">
      <c r="A16" s="2"/>
      <c r="B16" s="2"/>
      <c r="C16" s="2"/>
      <c r="D16" s="2"/>
      <c r="E16" s="2"/>
      <c r="F16" s="2"/>
      <c r="G16" s="2"/>
      <c r="H16" s="2"/>
      <c r="I16" s="2"/>
      <c r="J16" s="2"/>
      <c r="K16" s="2"/>
      <c r="L16" s="2"/>
      <c r="M16" s="2"/>
      <c r="N16" s="2"/>
      <c r="O16" s="2"/>
      <c r="P16" s="2"/>
      <c r="Q16" s="2"/>
      <c r="R16" s="2"/>
      <c r="S16" s="2"/>
      <c r="T16" s="2"/>
      <c r="U16" s="2"/>
      <c r="V16" s="2"/>
      <c r="W16" s="2"/>
      <c r="X16" s="2"/>
      <c r="Y16" s="2"/>
      <c r="Z16" s="2"/>
    </row>
    <row r="17" spans="1:26">
      <c r="A17" s="2"/>
      <c r="B17" s="2"/>
      <c r="C17" s="2"/>
      <c r="D17" s="2"/>
      <c r="E17" s="2"/>
      <c r="F17" s="2"/>
      <c r="G17" s="2"/>
      <c r="H17" s="2"/>
      <c r="I17" s="2"/>
      <c r="J17" s="2"/>
      <c r="K17" s="2"/>
      <c r="L17" s="2"/>
      <c r="M17" s="2"/>
      <c r="N17" s="2"/>
      <c r="O17" s="2"/>
      <c r="P17" s="2"/>
      <c r="Q17" s="2"/>
      <c r="R17" s="2"/>
      <c r="S17" s="2"/>
      <c r="T17" s="2"/>
      <c r="U17" s="2"/>
      <c r="V17" s="2"/>
      <c r="W17" s="2"/>
      <c r="X17" s="2"/>
      <c r="Y17" s="2"/>
      <c r="Z17" s="2"/>
    </row>
    <row r="18" spans="1:26">
      <c r="A18" s="2"/>
      <c r="B18" s="2"/>
      <c r="C18" s="2"/>
      <c r="D18" s="2"/>
      <c r="E18" s="2"/>
      <c r="F18" s="2"/>
      <c r="G18" s="2"/>
      <c r="H18" s="2"/>
      <c r="I18" s="2"/>
      <c r="J18" s="2"/>
      <c r="K18" s="2"/>
      <c r="L18" s="2"/>
      <c r="M18" s="2"/>
      <c r="N18" s="2"/>
      <c r="O18" s="2"/>
      <c r="P18" s="2"/>
      <c r="Q18" s="2"/>
      <c r="R18" s="2"/>
      <c r="S18" s="2"/>
      <c r="T18" s="2"/>
      <c r="U18" s="2"/>
      <c r="V18" s="2"/>
      <c r="W18" s="2"/>
      <c r="X18" s="2"/>
      <c r="Y18" s="2"/>
      <c r="Z18" s="2"/>
    </row>
    <row r="19" spans="1:26">
      <c r="A19" s="2"/>
      <c r="B19" s="2"/>
      <c r="C19" s="2"/>
      <c r="D19" s="2"/>
      <c r="E19" s="2"/>
      <c r="F19" s="2"/>
      <c r="G19" s="2"/>
      <c r="H19" s="2"/>
      <c r="I19" s="2"/>
      <c r="J19" s="2"/>
      <c r="K19" s="2"/>
      <c r="L19" s="2"/>
      <c r="M19" s="2"/>
      <c r="N19" s="2"/>
      <c r="O19" s="2"/>
      <c r="P19" s="2"/>
      <c r="Q19" s="2"/>
      <c r="R19" s="2"/>
      <c r="S19" s="2"/>
      <c r="T19" s="2"/>
      <c r="U19" s="2"/>
      <c r="V19" s="2"/>
      <c r="W19" s="2"/>
      <c r="X19" s="2"/>
      <c r="Y19" s="2"/>
      <c r="Z19" s="2"/>
    </row>
    <row r="20" spans="1:26">
      <c r="A20" s="2"/>
      <c r="B20" s="2"/>
      <c r="C20" s="2"/>
      <c r="D20" s="2"/>
      <c r="E20" s="2"/>
      <c r="F20" s="2"/>
      <c r="G20" s="2"/>
      <c r="H20" s="2"/>
      <c r="I20" s="2"/>
      <c r="J20" s="2"/>
      <c r="K20" s="2"/>
      <c r="L20" s="2"/>
      <c r="M20" s="2"/>
      <c r="N20" s="2"/>
      <c r="O20" s="2"/>
      <c r="P20" s="2"/>
      <c r="Q20" s="2"/>
      <c r="R20" s="2"/>
      <c r="S20" s="2"/>
      <c r="T20" s="2"/>
      <c r="U20" s="2"/>
      <c r="V20" s="2"/>
      <c r="W20" s="2"/>
      <c r="X20" s="2"/>
      <c r="Y20" s="2"/>
      <c r="Z20" s="2"/>
    </row>
    <row r="21" spans="1:26">
      <c r="A21" s="2"/>
      <c r="B21" s="2"/>
      <c r="C21" s="2"/>
      <c r="D21" s="2"/>
      <c r="E21" s="2"/>
      <c r="F21" s="2"/>
      <c r="G21" s="2"/>
      <c r="H21" s="2"/>
      <c r="I21" s="2"/>
      <c r="J21" s="2"/>
      <c r="K21" s="2"/>
      <c r="L21" s="2"/>
      <c r="M21" s="2"/>
      <c r="N21" s="2"/>
      <c r="O21" s="2"/>
      <c r="P21" s="2"/>
      <c r="Q21" s="2"/>
      <c r="R21" s="2"/>
      <c r="S21" s="2"/>
      <c r="T21" s="2"/>
      <c r="U21" s="2"/>
      <c r="V21" s="2"/>
      <c r="W21" s="2"/>
      <c r="X21" s="2"/>
      <c r="Y21" s="2"/>
      <c r="Z21" s="2"/>
    </row>
    <row r="22" spans="1:26">
      <c r="A22" s="2"/>
      <c r="B22" s="2"/>
      <c r="C22" s="2"/>
      <c r="D22" s="2"/>
      <c r="E22" s="2"/>
      <c r="F22" s="2"/>
      <c r="G22" s="2"/>
      <c r="H22" s="2"/>
      <c r="I22" s="2"/>
      <c r="J22" s="2"/>
      <c r="K22" s="2"/>
      <c r="L22" s="2"/>
      <c r="M22" s="2"/>
      <c r="N22" s="2"/>
      <c r="O22" s="2"/>
      <c r="P22" s="2"/>
      <c r="Q22" s="2"/>
      <c r="R22" s="2"/>
      <c r="S22" s="2"/>
      <c r="T22" s="2"/>
      <c r="U22" s="2"/>
      <c r="V22" s="2"/>
      <c r="W22" s="2"/>
      <c r="X22" s="2"/>
      <c r="Y22" s="2"/>
      <c r="Z22" s="2"/>
    </row>
    <row r="23" spans="1:26">
      <c r="A23" s="2"/>
      <c r="B23" s="2"/>
      <c r="C23" s="2"/>
      <c r="D23" s="2"/>
      <c r="E23" s="2"/>
      <c r="F23" s="2"/>
      <c r="G23" s="2"/>
      <c r="H23" s="2"/>
      <c r="I23" s="2"/>
      <c r="J23" s="2"/>
      <c r="K23" s="2"/>
      <c r="L23" s="2"/>
      <c r="M23" s="2"/>
      <c r="N23" s="2"/>
      <c r="O23" s="2"/>
      <c r="P23" s="2"/>
      <c r="Q23" s="2"/>
      <c r="R23" s="2"/>
      <c r="S23" s="2"/>
      <c r="T23" s="2"/>
      <c r="U23" s="2"/>
      <c r="V23" s="2"/>
      <c r="W23" s="2"/>
      <c r="X23" s="2"/>
      <c r="Y23" s="2"/>
      <c r="Z23" s="2"/>
    </row>
    <row r="24" spans="1:26">
      <c r="A24" s="2"/>
      <c r="B24" s="2"/>
      <c r="C24" s="2"/>
      <c r="D24" s="2"/>
      <c r="E24" s="2"/>
      <c r="F24" s="2"/>
      <c r="G24" s="2"/>
      <c r="H24" s="2"/>
      <c r="I24" s="2"/>
      <c r="J24" s="2"/>
      <c r="K24" s="2"/>
      <c r="L24" s="2"/>
      <c r="M24" s="2"/>
      <c r="N24" s="2"/>
      <c r="O24" s="2"/>
      <c r="P24" s="2"/>
      <c r="Q24" s="2"/>
      <c r="R24" s="2"/>
      <c r="S24" s="2"/>
      <c r="T24" s="2"/>
      <c r="U24" s="2"/>
      <c r="V24" s="2"/>
      <c r="W24" s="2"/>
      <c r="X24" s="2"/>
      <c r="Y24" s="2"/>
      <c r="Z24" s="2"/>
    </row>
    <row r="25" spans="1:26">
      <c r="A25" s="2"/>
      <c r="B25" s="2"/>
      <c r="C25" s="2"/>
      <c r="D25" s="2"/>
      <c r="E25" s="2"/>
      <c r="F25" s="2"/>
      <c r="G25" s="2"/>
      <c r="H25" s="2"/>
      <c r="I25" s="2"/>
      <c r="J25" s="2"/>
      <c r="K25" s="2"/>
      <c r="L25" s="2"/>
      <c r="M25" s="2"/>
      <c r="N25" s="2"/>
      <c r="O25" s="2"/>
      <c r="P25" s="2"/>
      <c r="Q25" s="2"/>
      <c r="R25" s="2"/>
      <c r="S25" s="2"/>
      <c r="T25" s="2"/>
      <c r="U25" s="2"/>
      <c r="V25" s="2"/>
      <c r="W25" s="2"/>
      <c r="X25" s="2"/>
      <c r="Y25" s="2"/>
      <c r="Z25" s="2"/>
    </row>
    <row r="26" spans="1:26">
      <c r="A26" s="2"/>
      <c r="B26" s="2"/>
      <c r="C26" s="2"/>
      <c r="D26" s="2"/>
      <c r="E26" s="2"/>
      <c r="F26" s="2"/>
      <c r="G26" s="2"/>
      <c r="H26" s="2"/>
      <c r="I26" s="2"/>
      <c r="J26" s="2"/>
      <c r="K26" s="2"/>
      <c r="L26" s="2"/>
      <c r="M26" s="2"/>
      <c r="N26" s="2"/>
      <c r="O26" s="2"/>
      <c r="P26" s="2"/>
      <c r="Q26" s="2"/>
      <c r="R26" s="2"/>
      <c r="S26" s="2"/>
      <c r="T26" s="2"/>
      <c r="U26" s="2"/>
      <c r="V26" s="2"/>
      <c r="W26" s="2"/>
      <c r="X26" s="2"/>
      <c r="Y26" s="2"/>
      <c r="Z26" s="2"/>
    </row>
    <row r="27" spans="1:26">
      <c r="A27" s="2"/>
      <c r="B27" s="2"/>
      <c r="C27" s="2"/>
      <c r="D27" s="2"/>
      <c r="E27" s="2"/>
      <c r="F27" s="2"/>
      <c r="G27" s="2"/>
      <c r="H27" s="2"/>
      <c r="I27" s="2"/>
      <c r="J27" s="2"/>
      <c r="K27" s="2"/>
      <c r="L27" s="2"/>
      <c r="M27" s="2"/>
      <c r="N27" s="2"/>
      <c r="O27" s="2"/>
      <c r="P27" s="2"/>
      <c r="Q27" s="2"/>
      <c r="R27" s="2"/>
      <c r="S27" s="2"/>
      <c r="T27" s="2"/>
      <c r="U27" s="2"/>
      <c r="V27" s="2"/>
      <c r="W27" s="2"/>
      <c r="X27" s="2"/>
      <c r="Y27" s="2"/>
      <c r="Z27" s="2"/>
    </row>
    <row r="28" spans="1:26">
      <c r="A28" s="2"/>
      <c r="B28" s="2"/>
      <c r="C28" s="2"/>
      <c r="D28" s="2"/>
      <c r="E28" s="2"/>
      <c r="F28" s="2"/>
      <c r="G28" s="2"/>
      <c r="H28" s="2"/>
      <c r="I28" s="2"/>
      <c r="J28" s="2"/>
      <c r="K28" s="2"/>
      <c r="L28" s="2"/>
      <c r="M28" s="2"/>
      <c r="N28" s="2"/>
      <c r="O28" s="2"/>
      <c r="P28" s="2"/>
      <c r="Q28" s="2"/>
      <c r="R28" s="2"/>
      <c r="S28" s="2"/>
      <c r="T28" s="2"/>
      <c r="U28" s="2"/>
      <c r="V28" s="2"/>
      <c r="W28" s="2"/>
      <c r="X28" s="2"/>
      <c r="Y28" s="2"/>
      <c r="Z28" s="2"/>
    </row>
    <row r="29" spans="1:26">
      <c r="A29" s="2"/>
      <c r="B29" s="2"/>
      <c r="C29" s="2"/>
      <c r="D29" s="2"/>
      <c r="E29" s="2"/>
      <c r="F29" s="2"/>
      <c r="G29" s="2"/>
      <c r="H29" s="2"/>
      <c r="I29" s="2"/>
      <c r="J29" s="2"/>
      <c r="K29" s="2"/>
      <c r="L29" s="2"/>
      <c r="M29" s="2"/>
      <c r="N29" s="2"/>
      <c r="O29" s="2"/>
      <c r="P29" s="2"/>
      <c r="Q29" s="2"/>
      <c r="R29" s="2"/>
      <c r="S29" s="2"/>
      <c r="T29" s="2"/>
      <c r="U29" s="2"/>
      <c r="V29" s="2"/>
      <c r="W29" s="2"/>
      <c r="X29" s="2"/>
      <c r="Y29" s="2"/>
      <c r="Z29" s="2"/>
    </row>
    <row r="30" spans="1:26">
      <c r="A30" s="2"/>
      <c r="B30" s="2"/>
      <c r="C30" s="2"/>
      <c r="D30" s="2"/>
      <c r="E30" s="2"/>
      <c r="F30" s="2"/>
      <c r="G30" s="2"/>
      <c r="H30" s="2"/>
      <c r="I30" s="2"/>
      <c r="J30" s="2"/>
      <c r="K30" s="2"/>
      <c r="L30" s="2"/>
      <c r="M30" s="2"/>
      <c r="N30" s="2"/>
      <c r="O30" s="2"/>
      <c r="P30" s="2"/>
      <c r="Q30" s="2"/>
      <c r="R30" s="2"/>
      <c r="S30" s="2"/>
      <c r="T30" s="2"/>
      <c r="U30" s="2"/>
      <c r="V30" s="2"/>
      <c r="W30" s="2"/>
      <c r="X30" s="2"/>
      <c r="Y30" s="2"/>
      <c r="Z30" s="2"/>
    </row>
    <row r="31" spans="1:26">
      <c r="A31" s="2"/>
      <c r="B31" s="2"/>
      <c r="C31" s="2"/>
      <c r="D31" s="2"/>
      <c r="E31" s="2"/>
      <c r="F31" s="2"/>
      <c r="G31" s="2"/>
      <c r="H31" s="2"/>
      <c r="I31" s="2"/>
      <c r="J31" s="2"/>
      <c r="K31" s="2"/>
      <c r="L31" s="2"/>
      <c r="M31" s="2"/>
      <c r="N31" s="2"/>
      <c r="O31" s="2"/>
      <c r="P31" s="2"/>
      <c r="Q31" s="2"/>
      <c r="R31" s="2"/>
      <c r="S31" s="2"/>
      <c r="T31" s="2"/>
      <c r="U31" s="2"/>
      <c r="V31" s="2"/>
      <c r="W31" s="2"/>
      <c r="X31" s="2"/>
      <c r="Y31" s="2"/>
      <c r="Z31" s="2"/>
    </row>
    <row r="32" spans="1:26">
      <c r="A32" s="2"/>
      <c r="B32" s="2"/>
      <c r="C32" s="2"/>
      <c r="D32" s="2"/>
      <c r="E32" s="2"/>
      <c r="F32" s="2"/>
      <c r="G32" s="2"/>
      <c r="H32" s="2"/>
      <c r="I32" s="2"/>
      <c r="J32" s="2"/>
      <c r="K32" s="2"/>
      <c r="L32" s="2"/>
      <c r="M32" s="2"/>
      <c r="N32" s="2"/>
      <c r="O32" s="2"/>
      <c r="P32" s="2"/>
      <c r="Q32" s="2"/>
      <c r="R32" s="2"/>
      <c r="S32" s="2"/>
      <c r="T32" s="2"/>
      <c r="U32" s="2"/>
      <c r="V32" s="2"/>
      <c r="W32" s="2"/>
      <c r="X32" s="2"/>
      <c r="Y32" s="2"/>
      <c r="Z32" s="2"/>
    </row>
    <row r="33" spans="1:26">
      <c r="A33" s="2"/>
      <c r="B33" s="2"/>
      <c r="C33" s="2"/>
      <c r="D33" s="2"/>
      <c r="E33" s="2"/>
      <c r="F33" s="2"/>
      <c r="G33" s="2"/>
      <c r="H33" s="2"/>
      <c r="I33" s="2"/>
      <c r="J33" s="2"/>
      <c r="K33" s="2"/>
      <c r="L33" s="2"/>
      <c r="M33" s="2"/>
      <c r="N33" s="2"/>
      <c r="O33" s="2"/>
      <c r="P33" s="2"/>
      <c r="Q33" s="2"/>
      <c r="R33" s="2"/>
      <c r="S33" s="2"/>
      <c r="T33" s="2"/>
      <c r="U33" s="2"/>
      <c r="V33" s="2"/>
      <c r="W33" s="2"/>
      <c r="X33" s="2"/>
      <c r="Y33" s="2"/>
      <c r="Z33" s="2"/>
    </row>
    <row r="34" spans="1:26">
      <c r="A34" s="2"/>
      <c r="B34" s="2"/>
      <c r="C34" s="2"/>
      <c r="D34" s="2"/>
      <c r="E34" s="2"/>
      <c r="F34" s="2"/>
      <c r="G34" s="2"/>
      <c r="H34" s="2"/>
      <c r="I34" s="2"/>
      <c r="J34" s="2"/>
      <c r="K34" s="2"/>
      <c r="L34" s="2"/>
      <c r="M34" s="2"/>
      <c r="N34" s="2"/>
      <c r="O34" s="2"/>
      <c r="P34" s="2"/>
      <c r="Q34" s="2"/>
      <c r="R34" s="2"/>
      <c r="S34" s="2"/>
      <c r="T34" s="2"/>
      <c r="U34" s="2"/>
      <c r="V34" s="2"/>
      <c r="W34" s="2"/>
      <c r="X34" s="2"/>
      <c r="Y34" s="2"/>
      <c r="Z34" s="2"/>
    </row>
    <row r="35" spans="1:26">
      <c r="A35" s="2"/>
      <c r="B35" s="2"/>
      <c r="C35" s="2"/>
      <c r="D35" s="2"/>
      <c r="E35" s="2"/>
      <c r="F35" s="2"/>
      <c r="G35" s="2"/>
      <c r="H35" s="2"/>
      <c r="I35" s="2"/>
      <c r="J35" s="2"/>
      <c r="K35" s="2"/>
      <c r="L35" s="2"/>
      <c r="M35" s="2"/>
      <c r="N35" s="2"/>
      <c r="O35" s="2"/>
      <c r="P35" s="2"/>
      <c r="Q35" s="2"/>
      <c r="R35" s="2"/>
      <c r="S35" s="2"/>
      <c r="T35" s="2"/>
      <c r="U35" s="2"/>
      <c r="V35" s="2"/>
      <c r="W35" s="2"/>
      <c r="X35" s="2"/>
      <c r="Y35" s="2"/>
      <c r="Z35" s="2"/>
    </row>
    <row r="36" spans="1:26">
      <c r="A36" s="2"/>
      <c r="B36" s="2"/>
      <c r="C36" s="2"/>
      <c r="D36" s="2"/>
      <c r="E36" s="2"/>
      <c r="F36" s="2"/>
      <c r="G36" s="2"/>
      <c r="H36" s="2"/>
      <c r="I36" s="2"/>
      <c r="J36" s="2"/>
      <c r="K36" s="2"/>
      <c r="L36" s="2"/>
      <c r="M36" s="2"/>
      <c r="N36" s="2"/>
      <c r="O36" s="2"/>
      <c r="P36" s="2"/>
      <c r="Q36" s="2"/>
      <c r="R36" s="2"/>
      <c r="S36" s="2"/>
      <c r="T36" s="2"/>
      <c r="U36" s="2"/>
      <c r="V36" s="2"/>
      <c r="W36" s="2"/>
      <c r="X36" s="2"/>
      <c r="Y36" s="2"/>
      <c r="Z36" s="2"/>
    </row>
    <row r="37" spans="1:26">
      <c r="A37" s="2"/>
      <c r="B37" s="2"/>
      <c r="C37" s="2"/>
      <c r="D37" s="2"/>
      <c r="E37" s="2"/>
      <c r="F37" s="2"/>
      <c r="G37" s="2"/>
      <c r="H37" s="2"/>
      <c r="I37" s="2"/>
      <c r="J37" s="2"/>
      <c r="K37" s="2"/>
      <c r="L37" s="2"/>
      <c r="M37" s="2"/>
      <c r="N37" s="2"/>
      <c r="O37" s="2"/>
      <c r="P37" s="2"/>
      <c r="Q37" s="2"/>
      <c r="R37" s="2"/>
      <c r="S37" s="2"/>
      <c r="T37" s="2"/>
      <c r="U37" s="2"/>
      <c r="V37" s="2"/>
      <c r="W37" s="2"/>
      <c r="X37" s="2"/>
      <c r="Y37" s="2"/>
      <c r="Z37" s="2"/>
    </row>
    <row r="38" spans="1:26">
      <c r="A38" s="2"/>
      <c r="B38" s="2"/>
      <c r="C38" s="2"/>
      <c r="D38" s="2"/>
      <c r="E38" s="2"/>
      <c r="F38" s="2"/>
      <c r="G38" s="2"/>
      <c r="H38" s="2"/>
      <c r="I38" s="2"/>
      <c r="J38" s="2"/>
      <c r="K38" s="2"/>
      <c r="L38" s="2"/>
      <c r="M38" s="2"/>
      <c r="N38" s="2"/>
      <c r="O38" s="2"/>
      <c r="P38" s="2"/>
      <c r="Q38" s="2"/>
      <c r="R38" s="2"/>
      <c r="S38" s="2"/>
      <c r="T38" s="2"/>
      <c r="U38" s="2"/>
      <c r="V38" s="2"/>
      <c r="W38" s="2"/>
      <c r="X38" s="2"/>
      <c r="Y38" s="2"/>
      <c r="Z38" s="2"/>
    </row>
    <row r="39" spans="1:26">
      <c r="A39" s="2"/>
      <c r="B39" s="2"/>
      <c r="C39" s="2"/>
      <c r="D39" s="2"/>
      <c r="E39" s="2"/>
      <c r="F39" s="2"/>
      <c r="G39" s="2"/>
      <c r="H39" s="2"/>
      <c r="I39" s="2"/>
      <c r="J39" s="2"/>
      <c r="K39" s="2"/>
      <c r="L39" s="2"/>
      <c r="M39" s="2"/>
      <c r="N39" s="2"/>
      <c r="O39" s="2"/>
      <c r="P39" s="2"/>
      <c r="Q39" s="2"/>
      <c r="R39" s="2"/>
      <c r="S39" s="2"/>
      <c r="T39" s="2"/>
      <c r="U39" s="2"/>
      <c r="V39" s="2"/>
      <c r="W39" s="2"/>
      <c r="X39" s="2"/>
      <c r="Y39" s="2"/>
      <c r="Z39" s="2"/>
    </row>
    <row r="40" spans="1:26">
      <c r="A40" s="2"/>
      <c r="B40" s="2"/>
      <c r="C40" s="2"/>
      <c r="D40" s="2"/>
      <c r="E40" s="2"/>
      <c r="F40" s="2"/>
      <c r="G40" s="2"/>
      <c r="H40" s="2"/>
      <c r="I40" s="2"/>
      <c r="J40" s="2"/>
      <c r="K40" s="2"/>
      <c r="L40" s="2"/>
      <c r="M40" s="2"/>
      <c r="N40" s="2"/>
      <c r="O40" s="2"/>
      <c r="P40" s="2"/>
      <c r="Q40" s="2"/>
      <c r="R40" s="2"/>
      <c r="S40" s="2"/>
      <c r="T40" s="2"/>
      <c r="U40" s="2"/>
      <c r="V40" s="2"/>
      <c r="W40" s="2"/>
      <c r="X40" s="2"/>
      <c r="Y40" s="2"/>
      <c r="Z40" s="2"/>
    </row>
    <row r="41" spans="1:26">
      <c r="A41" s="2"/>
      <c r="B41" s="2"/>
      <c r="C41" s="2"/>
      <c r="D41" s="2"/>
      <c r="E41" s="2"/>
      <c r="F41" s="2"/>
      <c r="G41" s="2"/>
      <c r="H41" s="2"/>
      <c r="I41" s="2"/>
      <c r="J41" s="2"/>
      <c r="K41" s="2"/>
      <c r="L41" s="2"/>
      <c r="M41" s="2"/>
      <c r="N41" s="2"/>
      <c r="O41" s="2"/>
      <c r="P41" s="2"/>
      <c r="Q41" s="2"/>
      <c r="R41" s="2"/>
      <c r="S41" s="2"/>
      <c r="T41" s="2"/>
      <c r="U41" s="2"/>
      <c r="V41" s="2"/>
      <c r="W41" s="2"/>
      <c r="X41" s="2"/>
      <c r="Y41" s="2"/>
      <c r="Z41" s="2"/>
    </row>
    <row r="42" spans="1:26">
      <c r="A42" s="2"/>
      <c r="B42" s="2"/>
      <c r="C42" s="2"/>
      <c r="D42" s="2"/>
      <c r="E42" s="2"/>
      <c r="F42" s="2"/>
      <c r="G42" s="2"/>
      <c r="H42" s="2"/>
      <c r="I42" s="2"/>
      <c r="J42" s="2"/>
      <c r="K42" s="2"/>
      <c r="L42" s="2"/>
      <c r="M42" s="2"/>
      <c r="N42" s="2"/>
      <c r="O42" s="2"/>
      <c r="P42" s="2"/>
      <c r="Q42" s="2"/>
      <c r="R42" s="2"/>
      <c r="S42" s="2"/>
      <c r="T42" s="2"/>
      <c r="U42" s="2"/>
      <c r="V42" s="2"/>
      <c r="W42" s="2"/>
      <c r="X42" s="2"/>
      <c r="Y42" s="2"/>
      <c r="Z42" s="2"/>
    </row>
    <row r="43" spans="1:26">
      <c r="A43" s="2"/>
      <c r="B43" s="2"/>
      <c r="C43" s="2"/>
      <c r="D43" s="2"/>
      <c r="E43" s="2"/>
      <c r="F43" s="2"/>
      <c r="G43" s="2"/>
      <c r="H43" s="2"/>
      <c r="I43" s="2"/>
      <c r="J43" s="2"/>
      <c r="K43" s="2"/>
      <c r="L43" s="2"/>
      <c r="M43" s="2"/>
      <c r="N43" s="2"/>
      <c r="O43" s="2"/>
      <c r="P43" s="2"/>
      <c r="Q43" s="2"/>
      <c r="R43" s="2"/>
      <c r="S43" s="2"/>
      <c r="T43" s="2"/>
      <c r="U43" s="2"/>
      <c r="V43" s="2"/>
      <c r="W43" s="2"/>
      <c r="X43" s="2"/>
      <c r="Y43" s="2"/>
      <c r="Z43" s="2"/>
    </row>
    <row r="44" spans="1:26">
      <c r="A44" s="2"/>
      <c r="B44" s="2"/>
      <c r="C44" s="2"/>
      <c r="D44" s="2"/>
      <c r="E44" s="2"/>
      <c r="F44" s="2"/>
      <c r="G44" s="2"/>
      <c r="H44" s="2"/>
      <c r="I44" s="2"/>
      <c r="J44" s="2"/>
      <c r="K44" s="2"/>
      <c r="L44" s="2"/>
      <c r="M44" s="2"/>
      <c r="N44" s="2"/>
      <c r="O44" s="2"/>
      <c r="P44" s="2"/>
      <c r="Q44" s="2"/>
      <c r="R44" s="2"/>
      <c r="S44" s="2"/>
      <c r="T44" s="2"/>
      <c r="U44" s="2"/>
      <c r="V44" s="2"/>
      <c r="W44" s="2"/>
      <c r="X44" s="2"/>
      <c r="Y44" s="2"/>
      <c r="Z44" s="2"/>
    </row>
    <row r="45" spans="1:26">
      <c r="A45" s="2"/>
      <c r="B45" s="2"/>
      <c r="C45" s="2"/>
      <c r="D45" s="2"/>
      <c r="E45" s="2"/>
      <c r="F45" s="2"/>
      <c r="G45" s="2"/>
      <c r="H45" s="2"/>
      <c r="I45" s="2"/>
      <c r="J45" s="2"/>
      <c r="K45" s="2"/>
      <c r="L45" s="2"/>
      <c r="M45" s="2"/>
      <c r="N45" s="2"/>
      <c r="O45" s="2"/>
      <c r="P45" s="2"/>
      <c r="Q45" s="2"/>
      <c r="R45" s="2"/>
      <c r="S45" s="2"/>
      <c r="T45" s="2"/>
      <c r="U45" s="2"/>
      <c r="V45" s="2"/>
      <c r="W45" s="2"/>
      <c r="X45" s="2"/>
      <c r="Y45" s="2"/>
      <c r="Z45" s="2"/>
    </row>
    <row r="46" spans="1:26">
      <c r="A46" s="2"/>
      <c r="B46" s="2"/>
      <c r="C46" s="2"/>
      <c r="D46" s="2"/>
      <c r="E46" s="2"/>
      <c r="F46" s="2"/>
      <c r="G46" s="2"/>
      <c r="H46" s="2"/>
      <c r="I46" s="2"/>
      <c r="J46" s="2"/>
      <c r="K46" s="2"/>
      <c r="L46" s="2"/>
      <c r="M46" s="2"/>
      <c r="N46" s="2"/>
      <c r="O46" s="2"/>
      <c r="P46" s="2"/>
      <c r="Q46" s="2"/>
      <c r="R46" s="2"/>
      <c r="S46" s="2"/>
      <c r="T46" s="2"/>
      <c r="U46" s="2"/>
      <c r="V46" s="2"/>
      <c r="W46" s="2"/>
      <c r="X46" s="2"/>
      <c r="Y46" s="2"/>
      <c r="Z46" s="2"/>
    </row>
    <row r="47" spans="1:26">
      <c r="A47" s="2"/>
      <c r="B47" s="2"/>
      <c r="C47" s="2"/>
      <c r="D47" s="2"/>
      <c r="E47" s="2"/>
      <c r="F47" s="2"/>
      <c r="G47" s="2"/>
      <c r="H47" s="2"/>
      <c r="I47" s="2"/>
      <c r="J47" s="2"/>
      <c r="K47" s="2"/>
      <c r="L47" s="2"/>
      <c r="M47" s="2"/>
      <c r="N47" s="2"/>
      <c r="O47" s="2"/>
      <c r="P47" s="2"/>
      <c r="Q47" s="2"/>
      <c r="R47" s="2"/>
      <c r="S47" s="2"/>
      <c r="T47" s="2"/>
      <c r="U47" s="2"/>
      <c r="V47" s="2"/>
      <c r="W47" s="2"/>
      <c r="X47" s="2"/>
      <c r="Y47" s="2"/>
      <c r="Z47" s="2"/>
    </row>
    <row r="48" spans="1:26">
      <c r="A48" s="2"/>
      <c r="B48" s="2"/>
      <c r="C48" s="2"/>
      <c r="D48" s="2"/>
      <c r="E48" s="2"/>
      <c r="F48" s="2"/>
      <c r="G48" s="2"/>
      <c r="H48" s="2"/>
      <c r="I48" s="2"/>
      <c r="J48" s="2"/>
      <c r="K48" s="2"/>
      <c r="L48" s="2"/>
      <c r="M48" s="2"/>
      <c r="N48" s="2"/>
      <c r="O48" s="2"/>
      <c r="P48" s="2"/>
      <c r="Q48" s="2"/>
      <c r="R48" s="2"/>
      <c r="S48" s="2"/>
      <c r="T48" s="2"/>
      <c r="U48" s="2"/>
      <c r="V48" s="2"/>
      <c r="W48" s="2"/>
      <c r="X48" s="2"/>
      <c r="Y48" s="2"/>
      <c r="Z48" s="2"/>
    </row>
    <row r="49" spans="1:26">
      <c r="A49" s="2"/>
      <c r="B49" s="2"/>
      <c r="C49" s="2"/>
      <c r="D49" s="2"/>
      <c r="E49" s="2"/>
      <c r="F49" s="2"/>
      <c r="G49" s="2"/>
      <c r="H49" s="2"/>
      <c r="I49" s="2"/>
      <c r="J49" s="2"/>
      <c r="K49" s="2"/>
      <c r="L49" s="2"/>
      <c r="M49" s="2"/>
      <c r="N49" s="2"/>
      <c r="O49" s="2"/>
      <c r="P49" s="2"/>
      <c r="Q49" s="2"/>
      <c r="R49" s="2"/>
      <c r="S49" s="2"/>
      <c r="T49" s="2"/>
      <c r="U49" s="2"/>
      <c r="V49" s="2"/>
      <c r="W49" s="2"/>
      <c r="X49" s="2"/>
      <c r="Y49" s="2"/>
      <c r="Z49" s="2"/>
    </row>
    <row r="50" spans="1:26">
      <c r="A50" s="2"/>
      <c r="B50" s="2"/>
      <c r="C50" s="2"/>
      <c r="D50" s="2"/>
      <c r="E50" s="2"/>
      <c r="F50" s="2"/>
      <c r="G50" s="2"/>
      <c r="H50" s="2"/>
      <c r="I50" s="2"/>
      <c r="J50" s="2"/>
      <c r="K50" s="2"/>
      <c r="L50" s="2"/>
      <c r="M50" s="2"/>
      <c r="N50" s="2"/>
      <c r="O50" s="2"/>
      <c r="P50" s="2"/>
      <c r="Q50" s="2"/>
      <c r="R50" s="2"/>
      <c r="S50" s="2"/>
      <c r="T50" s="2"/>
      <c r="U50" s="2"/>
      <c r="V50" s="2"/>
      <c r="W50" s="2"/>
      <c r="X50" s="2"/>
      <c r="Y50" s="2"/>
      <c r="Z50" s="2"/>
    </row>
    <row r="51" spans="1:26">
      <c r="A51" s="2"/>
      <c r="B51" s="2"/>
      <c r="C51" s="2"/>
      <c r="D51" s="2"/>
      <c r="E51" s="2"/>
      <c r="F51" s="2"/>
      <c r="G51" s="2"/>
      <c r="H51" s="2"/>
      <c r="I51" s="2"/>
      <c r="J51" s="2"/>
      <c r="K51" s="2"/>
      <c r="L51" s="2"/>
      <c r="M51" s="2"/>
      <c r="N51" s="2"/>
      <c r="O51" s="2"/>
      <c r="P51" s="2"/>
      <c r="Q51" s="2"/>
      <c r="R51" s="2"/>
      <c r="S51" s="2"/>
      <c r="T51" s="2"/>
      <c r="U51" s="2"/>
      <c r="V51" s="2"/>
      <c r="W51" s="2"/>
      <c r="X51" s="2"/>
      <c r="Y51" s="2"/>
      <c r="Z51" s="2"/>
    </row>
    <row r="52" spans="1:26">
      <c r="A52" s="2"/>
      <c r="B52" s="2"/>
      <c r="C52" s="2"/>
      <c r="D52" s="2"/>
      <c r="E52" s="2"/>
      <c r="F52" s="2"/>
      <c r="G52" s="2"/>
      <c r="H52" s="2"/>
      <c r="I52" s="2"/>
      <c r="J52" s="2"/>
      <c r="K52" s="2"/>
      <c r="L52" s="2"/>
      <c r="M52" s="2"/>
      <c r="N52" s="2"/>
      <c r="O52" s="2"/>
      <c r="P52" s="2"/>
      <c r="Q52" s="2"/>
      <c r="R52" s="2"/>
      <c r="S52" s="2"/>
      <c r="T52" s="2"/>
      <c r="U52" s="2"/>
      <c r="V52" s="2"/>
      <c r="W52" s="2"/>
      <c r="X52" s="2"/>
      <c r="Y52" s="2"/>
      <c r="Z52" s="2"/>
    </row>
    <row r="53" spans="1:26">
      <c r="A53" s="2"/>
      <c r="B53" s="2"/>
      <c r="C53" s="2"/>
      <c r="D53" s="2"/>
      <c r="E53" s="2"/>
      <c r="F53" s="2"/>
      <c r="G53" s="2"/>
      <c r="H53" s="2"/>
      <c r="I53" s="2"/>
      <c r="J53" s="2"/>
      <c r="K53" s="2"/>
      <c r="L53" s="2"/>
      <c r="M53" s="2"/>
      <c r="N53" s="2"/>
      <c r="O53" s="2"/>
      <c r="P53" s="2"/>
      <c r="Q53" s="2"/>
      <c r="R53" s="2"/>
      <c r="S53" s="2"/>
      <c r="T53" s="2"/>
      <c r="U53" s="2"/>
      <c r="V53" s="2"/>
      <c r="W53" s="2"/>
      <c r="X53" s="2"/>
      <c r="Y53" s="2"/>
      <c r="Z53" s="2"/>
    </row>
    <row r="54" spans="1:26">
      <c r="A54" s="2"/>
      <c r="B54" s="2"/>
      <c r="C54" s="2"/>
      <c r="D54" s="2"/>
      <c r="E54" s="2"/>
      <c r="F54" s="2"/>
      <c r="G54" s="2"/>
      <c r="H54" s="2"/>
      <c r="I54" s="2"/>
      <c r="J54" s="2"/>
      <c r="K54" s="2"/>
      <c r="L54" s="2"/>
      <c r="M54" s="2"/>
      <c r="N54" s="2"/>
      <c r="O54" s="2"/>
      <c r="P54" s="2"/>
      <c r="Q54" s="2"/>
      <c r="R54" s="2"/>
      <c r="S54" s="2"/>
      <c r="T54" s="2"/>
      <c r="U54" s="2"/>
      <c r="V54" s="2"/>
      <c r="W54" s="2"/>
      <c r="X54" s="2"/>
      <c r="Y54" s="2"/>
      <c r="Z54" s="2"/>
    </row>
    <row r="55" spans="1:26">
      <c r="A55" s="2"/>
      <c r="B55" s="2"/>
      <c r="C55" s="2"/>
      <c r="D55" s="2"/>
      <c r="E55" s="2"/>
      <c r="F55" s="2"/>
      <c r="G55" s="2"/>
      <c r="H55" s="2"/>
      <c r="I55" s="2"/>
      <c r="J55" s="2"/>
      <c r="K55" s="2"/>
      <c r="L55" s="2"/>
      <c r="M55" s="2"/>
      <c r="N55" s="2"/>
      <c r="O55" s="2"/>
      <c r="P55" s="2"/>
      <c r="Q55" s="2"/>
      <c r="R55" s="2"/>
      <c r="S55" s="2"/>
      <c r="T55" s="2"/>
      <c r="U55" s="2"/>
      <c r="V55" s="2"/>
      <c r="W55" s="2"/>
      <c r="X55" s="2"/>
      <c r="Y55" s="2"/>
      <c r="Z55" s="2"/>
    </row>
    <row r="56" spans="1:26">
      <c r="A56" s="2"/>
      <c r="B56" s="2"/>
      <c r="C56" s="2"/>
      <c r="D56" s="2"/>
      <c r="E56" s="2"/>
      <c r="F56" s="2"/>
      <c r="G56" s="2"/>
      <c r="H56" s="2"/>
      <c r="I56" s="2"/>
      <c r="J56" s="2"/>
      <c r="K56" s="2"/>
      <c r="L56" s="2"/>
      <c r="M56" s="2"/>
      <c r="N56" s="2"/>
      <c r="O56" s="2"/>
      <c r="P56" s="2"/>
      <c r="Q56" s="2"/>
      <c r="R56" s="2"/>
      <c r="S56" s="2"/>
      <c r="T56" s="2"/>
      <c r="U56" s="2"/>
      <c r="V56" s="2"/>
      <c r="W56" s="2"/>
      <c r="X56" s="2"/>
      <c r="Y56" s="2"/>
      <c r="Z56" s="2"/>
    </row>
    <row r="57" spans="1:26">
      <c r="A57" s="2"/>
      <c r="B57" s="2"/>
      <c r="C57" s="2"/>
      <c r="D57" s="2"/>
      <c r="E57" s="2"/>
      <c r="F57" s="2"/>
      <c r="G57" s="2"/>
      <c r="H57" s="2"/>
      <c r="I57" s="2"/>
      <c r="J57" s="2"/>
      <c r="K57" s="2"/>
      <c r="L57" s="2"/>
      <c r="M57" s="2"/>
      <c r="N57" s="2"/>
      <c r="O57" s="2"/>
      <c r="P57" s="2"/>
      <c r="Q57" s="2"/>
      <c r="R57" s="2"/>
      <c r="S57" s="2"/>
      <c r="T57" s="2"/>
      <c r="U57" s="2"/>
      <c r="V57" s="2"/>
      <c r="W57" s="2"/>
      <c r="X57" s="2"/>
      <c r="Y57" s="2"/>
      <c r="Z57" s="2"/>
    </row>
    <row r="58" spans="1:26">
      <c r="A58" s="2"/>
      <c r="B58" s="2"/>
      <c r="C58" s="2"/>
      <c r="D58" s="2"/>
      <c r="E58" s="2"/>
      <c r="F58" s="2"/>
      <c r="G58" s="2"/>
      <c r="H58" s="2"/>
      <c r="I58" s="2"/>
      <c r="J58" s="2"/>
      <c r="K58" s="2"/>
      <c r="L58" s="2"/>
      <c r="M58" s="2"/>
      <c r="N58" s="2"/>
      <c r="O58" s="2"/>
      <c r="P58" s="2"/>
      <c r="Q58" s="2"/>
      <c r="R58" s="2"/>
      <c r="S58" s="2"/>
      <c r="T58" s="2"/>
      <c r="U58" s="2"/>
      <c r="V58" s="2"/>
      <c r="W58" s="2"/>
      <c r="X58" s="2"/>
      <c r="Y58" s="2"/>
      <c r="Z58" s="2"/>
    </row>
    <row r="59" spans="1:26">
      <c r="A59" s="2"/>
      <c r="B59" s="2"/>
      <c r="C59" s="2"/>
      <c r="D59" s="2"/>
      <c r="E59" s="2"/>
      <c r="F59" s="2"/>
      <c r="G59" s="2"/>
      <c r="H59" s="2"/>
      <c r="I59" s="2"/>
      <c r="J59" s="2"/>
      <c r="K59" s="2"/>
      <c r="L59" s="2"/>
      <c r="M59" s="2"/>
      <c r="N59" s="2"/>
      <c r="O59" s="2"/>
      <c r="P59" s="2"/>
      <c r="Q59" s="2"/>
      <c r="R59" s="2"/>
      <c r="S59" s="2"/>
      <c r="T59" s="2"/>
      <c r="U59" s="2"/>
      <c r="V59" s="2"/>
      <c r="W59" s="2"/>
      <c r="X59" s="2"/>
      <c r="Y59" s="2"/>
      <c r="Z59" s="2"/>
    </row>
    <row r="60" spans="1:26">
      <c r="A60" s="2"/>
      <c r="B60" s="2"/>
      <c r="C60" s="2"/>
      <c r="D60" s="2"/>
      <c r="E60" s="2"/>
      <c r="F60" s="2"/>
      <c r="G60" s="2"/>
      <c r="H60" s="2"/>
      <c r="I60" s="2"/>
      <c r="J60" s="2"/>
      <c r="K60" s="2"/>
      <c r="L60" s="2"/>
      <c r="M60" s="2"/>
      <c r="N60" s="2"/>
      <c r="O60" s="2"/>
      <c r="P60" s="2"/>
      <c r="Q60" s="2"/>
      <c r="R60" s="2"/>
      <c r="S60" s="2"/>
      <c r="T60" s="2"/>
      <c r="U60" s="2"/>
      <c r="V60" s="2"/>
      <c r="W60" s="2"/>
      <c r="X60" s="2"/>
      <c r="Y60" s="2"/>
      <c r="Z60" s="2"/>
    </row>
    <row r="61" spans="1:26">
      <c r="A61" s="2"/>
      <c r="B61" s="2"/>
      <c r="C61" s="2"/>
      <c r="D61" s="2"/>
      <c r="E61" s="2"/>
      <c r="F61" s="2"/>
      <c r="G61" s="2"/>
      <c r="H61" s="2"/>
      <c r="I61" s="2"/>
      <c r="J61" s="2"/>
      <c r="K61" s="2"/>
      <c r="L61" s="2"/>
      <c r="M61" s="2"/>
      <c r="N61" s="2"/>
      <c r="O61" s="2"/>
      <c r="P61" s="2"/>
      <c r="Q61" s="2"/>
      <c r="R61" s="2"/>
      <c r="S61" s="2"/>
      <c r="T61" s="2"/>
      <c r="U61" s="2"/>
      <c r="V61" s="2"/>
      <c r="W61" s="2"/>
      <c r="X61" s="2"/>
      <c r="Y61" s="2"/>
      <c r="Z61" s="2"/>
    </row>
    <row r="62" spans="1:26">
      <c r="A62" s="2"/>
      <c r="B62" s="2"/>
      <c r="C62" s="2"/>
      <c r="D62" s="2"/>
      <c r="E62" s="2"/>
      <c r="F62" s="2"/>
      <c r="G62" s="2"/>
      <c r="H62" s="2"/>
      <c r="I62" s="2"/>
      <c r="J62" s="2"/>
      <c r="K62" s="2"/>
      <c r="L62" s="2"/>
      <c r="M62" s="2"/>
      <c r="N62" s="2"/>
      <c r="O62" s="2"/>
      <c r="P62" s="2"/>
      <c r="Q62" s="2"/>
      <c r="R62" s="2"/>
      <c r="S62" s="2"/>
      <c r="T62" s="2"/>
      <c r="U62" s="2"/>
      <c r="V62" s="2"/>
      <c r="W62" s="2"/>
      <c r="X62" s="2"/>
      <c r="Y62" s="2"/>
      <c r="Z62" s="2"/>
    </row>
    <row r="63" spans="1:26">
      <c r="A63" s="2"/>
      <c r="B63" s="2"/>
      <c r="C63" s="2"/>
      <c r="D63" s="2"/>
      <c r="E63" s="2"/>
      <c r="F63" s="2"/>
      <c r="G63" s="2"/>
      <c r="H63" s="2"/>
      <c r="I63" s="2"/>
      <c r="J63" s="2"/>
      <c r="K63" s="2"/>
      <c r="L63" s="2"/>
      <c r="M63" s="2"/>
      <c r="N63" s="2"/>
      <c r="O63" s="2"/>
      <c r="P63" s="2"/>
      <c r="Q63" s="2"/>
      <c r="R63" s="2"/>
      <c r="S63" s="2"/>
      <c r="T63" s="2"/>
      <c r="U63" s="2"/>
      <c r="V63" s="2"/>
      <c r="W63" s="2"/>
      <c r="X63" s="2"/>
      <c r="Y63" s="2"/>
      <c r="Z63" s="2"/>
    </row>
    <row r="64" spans="1:26">
      <c r="A64" s="2"/>
      <c r="B64" s="2"/>
      <c r="C64" s="2"/>
      <c r="D64" s="2"/>
      <c r="E64" s="2"/>
      <c r="F64" s="2"/>
      <c r="G64" s="2"/>
      <c r="H64" s="2"/>
      <c r="I64" s="2"/>
      <c r="J64" s="2"/>
      <c r="K64" s="2"/>
      <c r="L64" s="2"/>
      <c r="M64" s="2"/>
      <c r="N64" s="2"/>
      <c r="O64" s="2"/>
      <c r="P64" s="2"/>
      <c r="Q64" s="2"/>
      <c r="R64" s="2"/>
      <c r="S64" s="2"/>
      <c r="T64" s="2"/>
      <c r="U64" s="2"/>
      <c r="V64" s="2"/>
      <c r="W64" s="2"/>
      <c r="X64" s="2"/>
      <c r="Y64" s="2"/>
      <c r="Z64" s="2"/>
    </row>
    <row r="65" spans="1:26">
      <c r="A65" s="2"/>
      <c r="B65" s="2"/>
      <c r="C65" s="2"/>
      <c r="D65" s="2"/>
      <c r="E65" s="2"/>
      <c r="F65" s="2"/>
      <c r="G65" s="2"/>
      <c r="H65" s="2"/>
      <c r="I65" s="2"/>
      <c r="J65" s="2"/>
      <c r="K65" s="2"/>
      <c r="L65" s="2"/>
      <c r="M65" s="2"/>
      <c r="N65" s="2"/>
      <c r="O65" s="2"/>
      <c r="P65" s="2"/>
      <c r="Q65" s="2"/>
      <c r="R65" s="2"/>
      <c r="S65" s="2"/>
      <c r="T65" s="2"/>
      <c r="U65" s="2"/>
      <c r="V65" s="2"/>
      <c r="W65" s="2"/>
      <c r="X65" s="2"/>
      <c r="Y65" s="2"/>
      <c r="Z65" s="2"/>
    </row>
    <row r="66" spans="1:26">
      <c r="A66" s="2"/>
      <c r="B66" s="2"/>
      <c r="C66" s="2"/>
      <c r="D66" s="2"/>
      <c r="E66" s="2"/>
      <c r="F66" s="2"/>
      <c r="G66" s="2"/>
      <c r="H66" s="2"/>
      <c r="I66" s="2"/>
      <c r="J66" s="2"/>
      <c r="K66" s="2"/>
      <c r="L66" s="2"/>
      <c r="M66" s="2"/>
      <c r="N66" s="2"/>
      <c r="O66" s="2"/>
      <c r="P66" s="2"/>
      <c r="Q66" s="2"/>
      <c r="R66" s="2"/>
      <c r="S66" s="2"/>
      <c r="T66" s="2"/>
      <c r="U66" s="2"/>
      <c r="V66" s="2"/>
      <c r="W66" s="2"/>
      <c r="X66" s="2"/>
      <c r="Y66" s="2"/>
      <c r="Z66" s="2"/>
    </row>
    <row r="67" spans="1:26">
      <c r="A67" s="2"/>
      <c r="B67" s="2"/>
      <c r="C67" s="2"/>
      <c r="D67" s="2"/>
      <c r="E67" s="2"/>
      <c r="F67" s="2"/>
      <c r="G67" s="2"/>
      <c r="H67" s="2"/>
      <c r="I67" s="2"/>
      <c r="J67" s="2"/>
      <c r="K67" s="2"/>
      <c r="L67" s="2"/>
      <c r="M67" s="2"/>
      <c r="N67" s="2"/>
      <c r="O67" s="2"/>
      <c r="P67" s="2"/>
      <c r="Q67" s="2"/>
      <c r="R67" s="2"/>
      <c r="S67" s="2"/>
      <c r="T67" s="2"/>
      <c r="U67" s="2"/>
      <c r="V67" s="2"/>
      <c r="W67" s="2"/>
      <c r="X67" s="2"/>
      <c r="Y67" s="2"/>
      <c r="Z67" s="2"/>
    </row>
    <row r="68" spans="1:26">
      <c r="A68" s="2"/>
      <c r="B68" s="2"/>
      <c r="C68" s="2"/>
      <c r="D68" s="2"/>
      <c r="E68" s="2"/>
      <c r="F68" s="2"/>
      <c r="G68" s="2"/>
      <c r="H68" s="2"/>
      <c r="I68" s="2"/>
      <c r="J68" s="2"/>
      <c r="K68" s="2"/>
      <c r="L68" s="2"/>
      <c r="M68" s="2"/>
      <c r="N68" s="2"/>
      <c r="O68" s="2"/>
      <c r="P68" s="2"/>
      <c r="Q68" s="2"/>
      <c r="R68" s="2"/>
      <c r="S68" s="2"/>
      <c r="T68" s="2"/>
      <c r="U68" s="2"/>
      <c r="V68" s="2"/>
      <c r="W68" s="2"/>
      <c r="X68" s="2"/>
      <c r="Y68" s="2"/>
      <c r="Z68" s="2"/>
    </row>
    <row r="69" spans="1:26">
      <c r="A69" s="2"/>
      <c r="B69" s="2"/>
      <c r="C69" s="2"/>
      <c r="D69" s="2"/>
      <c r="E69" s="2"/>
      <c r="F69" s="2"/>
      <c r="G69" s="2"/>
      <c r="H69" s="2"/>
      <c r="I69" s="2"/>
      <c r="J69" s="2"/>
      <c r="K69" s="2"/>
      <c r="L69" s="2"/>
      <c r="M69" s="2"/>
      <c r="N69" s="2"/>
      <c r="O69" s="2"/>
      <c r="P69" s="2"/>
      <c r="Q69" s="2"/>
      <c r="R69" s="2"/>
      <c r="S69" s="2"/>
      <c r="T69" s="2"/>
      <c r="U69" s="2"/>
      <c r="V69" s="2"/>
      <c r="W69" s="2"/>
      <c r="X69" s="2"/>
      <c r="Y69" s="2"/>
      <c r="Z69" s="2"/>
    </row>
    <row r="70" spans="1:26">
      <c r="A70" s="2"/>
      <c r="B70" s="2"/>
      <c r="C70" s="2"/>
      <c r="D70" s="2"/>
      <c r="E70" s="2"/>
      <c r="F70" s="2"/>
      <c r="G70" s="2"/>
      <c r="H70" s="2"/>
      <c r="I70" s="2"/>
      <c r="J70" s="2"/>
      <c r="K70" s="2"/>
      <c r="L70" s="2"/>
      <c r="M70" s="2"/>
      <c r="N70" s="2"/>
      <c r="O70" s="2"/>
      <c r="P70" s="2"/>
      <c r="Q70" s="2"/>
      <c r="R70" s="2"/>
      <c r="S70" s="2"/>
      <c r="T70" s="2"/>
      <c r="U70" s="2"/>
      <c r="V70" s="2"/>
      <c r="W70" s="2"/>
      <c r="X70" s="2"/>
      <c r="Y70" s="2"/>
      <c r="Z70" s="2"/>
    </row>
    <row r="71" spans="1:26">
      <c r="A71" s="2"/>
      <c r="B71" s="2"/>
      <c r="C71" s="2"/>
      <c r="D71" s="2"/>
      <c r="E71" s="2"/>
      <c r="F71" s="2"/>
      <c r="G71" s="2"/>
      <c r="H71" s="2"/>
      <c r="I71" s="2"/>
      <c r="J71" s="2"/>
      <c r="K71" s="2"/>
      <c r="L71" s="2"/>
      <c r="M71" s="2"/>
      <c r="N71" s="2"/>
      <c r="O71" s="2"/>
      <c r="P71" s="2"/>
      <c r="Q71" s="2"/>
      <c r="R71" s="2"/>
      <c r="S71" s="2"/>
      <c r="T71" s="2"/>
      <c r="U71" s="2"/>
      <c r="V71" s="2"/>
      <c r="W71" s="2"/>
      <c r="X71" s="2"/>
      <c r="Y71" s="2"/>
      <c r="Z71" s="2"/>
    </row>
    <row r="72" spans="1:26">
      <c r="A72" s="2"/>
      <c r="B72" s="2"/>
      <c r="C72" s="2"/>
      <c r="D72" s="2"/>
      <c r="E72" s="2"/>
      <c r="F72" s="2"/>
      <c r="G72" s="2"/>
      <c r="H72" s="2"/>
      <c r="I72" s="2"/>
      <c r="J72" s="2"/>
      <c r="K72" s="2"/>
      <c r="L72" s="2"/>
      <c r="M72" s="2"/>
      <c r="N72" s="2"/>
      <c r="O72" s="2"/>
      <c r="P72" s="2"/>
      <c r="Q72" s="2"/>
      <c r="R72" s="2"/>
      <c r="S72" s="2"/>
      <c r="T72" s="2"/>
      <c r="U72" s="2"/>
      <c r="V72" s="2"/>
      <c r="W72" s="2"/>
      <c r="X72" s="2"/>
      <c r="Y72" s="2"/>
      <c r="Z72" s="2"/>
    </row>
    <row r="73" spans="1:26">
      <c r="A73" s="2"/>
      <c r="B73" s="2"/>
      <c r="C73" s="2"/>
      <c r="D73" s="2"/>
      <c r="E73" s="2"/>
      <c r="F73" s="2"/>
      <c r="G73" s="2"/>
      <c r="H73" s="2"/>
      <c r="I73" s="2"/>
      <c r="J73" s="2"/>
      <c r="K73" s="2"/>
      <c r="L73" s="2"/>
      <c r="M73" s="2"/>
      <c r="N73" s="2"/>
      <c r="O73" s="2"/>
      <c r="P73" s="2"/>
      <c r="Q73" s="2"/>
      <c r="R73" s="2"/>
      <c r="S73" s="2"/>
      <c r="T73" s="2"/>
      <c r="U73" s="2"/>
      <c r="V73" s="2"/>
      <c r="W73" s="2"/>
      <c r="X73" s="2"/>
      <c r="Y73" s="2"/>
      <c r="Z73" s="2"/>
    </row>
    <row r="74" spans="1:26">
      <c r="A74" s="2"/>
      <c r="B74" s="2"/>
      <c r="C74" s="2"/>
      <c r="D74" s="2"/>
      <c r="E74" s="2"/>
      <c r="F74" s="2"/>
      <c r="G74" s="2"/>
      <c r="H74" s="2"/>
      <c r="I74" s="2"/>
      <c r="J74" s="2"/>
      <c r="K74" s="2"/>
      <c r="L74" s="2"/>
      <c r="M74" s="2"/>
      <c r="N74" s="2"/>
      <c r="O74" s="2"/>
      <c r="P74" s="2"/>
      <c r="Q74" s="2"/>
      <c r="R74" s="2"/>
      <c r="S74" s="2"/>
      <c r="T74" s="2"/>
      <c r="U74" s="2"/>
      <c r="V74" s="2"/>
      <c r="W74" s="2"/>
      <c r="X74" s="2"/>
      <c r="Y74" s="2"/>
      <c r="Z74" s="2"/>
    </row>
    <row r="75" spans="1:26">
      <c r="A75" s="2"/>
      <c r="B75" s="2"/>
      <c r="C75" s="2"/>
      <c r="D75" s="2"/>
      <c r="E75" s="2"/>
      <c r="F75" s="2"/>
      <c r="G75" s="2"/>
      <c r="H75" s="2"/>
      <c r="I75" s="2"/>
      <c r="J75" s="2"/>
      <c r="K75" s="2"/>
      <c r="L75" s="2"/>
      <c r="M75" s="2"/>
      <c r="N75" s="2"/>
      <c r="O75" s="2"/>
      <c r="P75" s="2"/>
      <c r="Q75" s="2"/>
      <c r="R75" s="2"/>
      <c r="S75" s="2"/>
      <c r="T75" s="2"/>
      <c r="U75" s="2"/>
      <c r="V75" s="2"/>
      <c r="W75" s="2"/>
      <c r="X75" s="2"/>
      <c r="Y75" s="2"/>
      <c r="Z75" s="2"/>
    </row>
    <row r="76" spans="1:26">
      <c r="A76" s="2"/>
      <c r="B76" s="2"/>
      <c r="C76" s="2"/>
      <c r="D76" s="2"/>
      <c r="E76" s="2"/>
      <c r="F76" s="2"/>
      <c r="G76" s="2"/>
      <c r="H76" s="2"/>
      <c r="I76" s="2"/>
      <c r="J76" s="2"/>
      <c r="K76" s="2"/>
      <c r="L76" s="2"/>
      <c r="M76" s="2"/>
      <c r="N76" s="2"/>
      <c r="O76" s="2"/>
      <c r="P76" s="2"/>
      <c r="Q76" s="2"/>
      <c r="R76" s="2"/>
      <c r="S76" s="2"/>
      <c r="T76" s="2"/>
      <c r="U76" s="2"/>
      <c r="V76" s="2"/>
      <c r="W76" s="2"/>
      <c r="X76" s="2"/>
      <c r="Y76" s="2"/>
      <c r="Z76" s="2"/>
    </row>
    <row r="77" spans="1:26">
      <c r="A77" s="2"/>
      <c r="B77" s="2"/>
      <c r="C77" s="2"/>
      <c r="D77" s="2"/>
      <c r="E77" s="2"/>
      <c r="F77" s="2"/>
      <c r="G77" s="2"/>
      <c r="H77" s="2"/>
      <c r="I77" s="2"/>
      <c r="J77" s="2"/>
      <c r="K77" s="2"/>
      <c r="L77" s="2"/>
      <c r="M77" s="2"/>
      <c r="N77" s="2"/>
      <c r="O77" s="2"/>
      <c r="P77" s="2"/>
      <c r="Q77" s="2"/>
      <c r="R77" s="2"/>
      <c r="S77" s="2"/>
      <c r="T77" s="2"/>
      <c r="U77" s="2"/>
      <c r="V77" s="2"/>
      <c r="W77" s="2"/>
      <c r="X77" s="2"/>
      <c r="Y77" s="2"/>
      <c r="Z77" s="2"/>
    </row>
    <row r="78" spans="1:26">
      <c r="A78" s="2"/>
      <c r="B78" s="2"/>
      <c r="C78" s="2"/>
      <c r="D78" s="2"/>
      <c r="E78" s="2"/>
      <c r="F78" s="2"/>
      <c r="G78" s="2"/>
      <c r="H78" s="2"/>
      <c r="I78" s="2"/>
      <c r="J78" s="2"/>
      <c r="K78" s="2"/>
      <c r="L78" s="2"/>
      <c r="M78" s="2"/>
      <c r="N78" s="2"/>
      <c r="O78" s="2"/>
      <c r="P78" s="2"/>
      <c r="Q78" s="2"/>
      <c r="R78" s="2"/>
      <c r="S78" s="2"/>
      <c r="T78" s="2"/>
      <c r="U78" s="2"/>
      <c r="V78" s="2"/>
      <c r="W78" s="2"/>
      <c r="X78" s="2"/>
      <c r="Y78" s="2"/>
      <c r="Z78" s="2"/>
    </row>
    <row r="79" spans="1:26">
      <c r="A79" s="2"/>
      <c r="B79" s="2"/>
      <c r="C79" s="2"/>
      <c r="D79" s="2"/>
      <c r="E79" s="2"/>
      <c r="F79" s="2"/>
      <c r="G79" s="2"/>
      <c r="H79" s="2"/>
      <c r="I79" s="2"/>
      <c r="J79" s="2"/>
      <c r="K79" s="2"/>
      <c r="L79" s="2"/>
      <c r="M79" s="2"/>
      <c r="N79" s="2"/>
      <c r="O79" s="2"/>
      <c r="P79" s="2"/>
      <c r="Q79" s="2"/>
      <c r="R79" s="2"/>
      <c r="S79" s="2"/>
      <c r="T79" s="2"/>
      <c r="U79" s="2"/>
      <c r="V79" s="2"/>
      <c r="W79" s="2"/>
      <c r="X79" s="2"/>
      <c r="Y79" s="2"/>
      <c r="Z79" s="2"/>
    </row>
    <row r="80" spans="1:26">
      <c r="A80" s="2"/>
      <c r="B80" s="2"/>
      <c r="C80" s="2"/>
      <c r="D80" s="2"/>
      <c r="E80" s="2"/>
      <c r="F80" s="2"/>
      <c r="G80" s="2"/>
      <c r="H80" s="2"/>
      <c r="I80" s="2"/>
      <c r="J80" s="2"/>
      <c r="K80" s="2"/>
      <c r="L80" s="2"/>
      <c r="M80" s="2"/>
      <c r="N80" s="2"/>
      <c r="O80" s="2"/>
      <c r="P80" s="2"/>
      <c r="Q80" s="2"/>
      <c r="R80" s="2"/>
      <c r="S80" s="2"/>
      <c r="T80" s="2"/>
      <c r="U80" s="2"/>
      <c r="V80" s="2"/>
      <c r="W80" s="2"/>
      <c r="X80" s="2"/>
      <c r="Y80" s="2"/>
      <c r="Z80" s="2"/>
    </row>
    <row r="81" spans="1:26">
      <c r="A81" s="2"/>
      <c r="B81" s="2"/>
      <c r="C81" s="2"/>
      <c r="D81" s="2"/>
      <c r="E81" s="2"/>
      <c r="F81" s="2"/>
      <c r="G81" s="2"/>
      <c r="H81" s="2"/>
      <c r="I81" s="2"/>
      <c r="J81" s="2"/>
      <c r="K81" s="2"/>
      <c r="L81" s="2"/>
      <c r="M81" s="2"/>
      <c r="N81" s="2"/>
      <c r="O81" s="2"/>
      <c r="P81" s="2"/>
      <c r="Q81" s="2"/>
      <c r="R81" s="2"/>
      <c r="S81" s="2"/>
      <c r="T81" s="2"/>
      <c r="U81" s="2"/>
      <c r="V81" s="2"/>
      <c r="W81" s="2"/>
      <c r="X81" s="2"/>
      <c r="Y81" s="2"/>
      <c r="Z81" s="2"/>
    </row>
    <row r="82" spans="1:26">
      <c r="A82" s="2"/>
      <c r="B82" s="2"/>
      <c r="C82" s="2"/>
      <c r="D82" s="2"/>
      <c r="E82" s="2"/>
      <c r="F82" s="2"/>
      <c r="G82" s="2"/>
      <c r="H82" s="2"/>
      <c r="I82" s="2"/>
      <c r="J82" s="2"/>
      <c r="K82" s="2"/>
      <c r="L82" s="2"/>
      <c r="M82" s="2"/>
      <c r="N82" s="2"/>
      <c r="O82" s="2"/>
      <c r="P82" s="2"/>
      <c r="Q82" s="2"/>
      <c r="R82" s="2"/>
      <c r="S82" s="2"/>
      <c r="T82" s="2"/>
      <c r="U82" s="2"/>
      <c r="V82" s="2"/>
      <c r="W82" s="2"/>
      <c r="X82" s="2"/>
      <c r="Y82" s="2"/>
      <c r="Z82" s="2"/>
    </row>
    <row r="83" spans="1:26">
      <c r="A83" s="2"/>
      <c r="B83" s="2"/>
      <c r="C83" s="2"/>
      <c r="D83" s="2"/>
      <c r="E83" s="2"/>
      <c r="F83" s="2"/>
      <c r="G83" s="2"/>
      <c r="H83" s="2"/>
      <c r="I83" s="2"/>
      <c r="J83" s="2"/>
      <c r="K83" s="2"/>
      <c r="L83" s="2"/>
      <c r="M83" s="2"/>
      <c r="N83" s="2"/>
      <c r="O83" s="2"/>
      <c r="P83" s="2"/>
      <c r="Q83" s="2"/>
      <c r="R83" s="2"/>
      <c r="S83" s="2"/>
      <c r="T83" s="2"/>
      <c r="U83" s="2"/>
      <c r="V83" s="2"/>
      <c r="W83" s="2"/>
      <c r="X83" s="2"/>
      <c r="Y83" s="2"/>
      <c r="Z83" s="2"/>
    </row>
    <row r="84" spans="1:26">
      <c r="A84" s="2"/>
      <c r="B84" s="2"/>
      <c r="C84" s="2"/>
      <c r="D84" s="2"/>
      <c r="E84" s="2"/>
      <c r="F84" s="2"/>
      <c r="G84" s="2"/>
      <c r="H84" s="2"/>
      <c r="I84" s="2"/>
      <c r="J84" s="2"/>
      <c r="K84" s="2"/>
      <c r="L84" s="2"/>
      <c r="M84" s="2"/>
      <c r="N84" s="2"/>
      <c r="O84" s="2"/>
      <c r="P84" s="2"/>
      <c r="Q84" s="2"/>
      <c r="R84" s="2"/>
      <c r="S84" s="2"/>
      <c r="T84" s="2"/>
      <c r="U84" s="2"/>
      <c r="V84" s="2"/>
      <c r="W84" s="2"/>
      <c r="X84" s="2"/>
      <c r="Y84" s="2"/>
      <c r="Z84" s="2"/>
    </row>
    <row r="85" spans="1:26">
      <c r="A85" s="2"/>
      <c r="B85" s="2"/>
      <c r="C85" s="2"/>
      <c r="D85" s="2"/>
      <c r="E85" s="2"/>
      <c r="F85" s="2"/>
      <c r="G85" s="2"/>
      <c r="H85" s="2"/>
      <c r="I85" s="2"/>
      <c r="J85" s="2"/>
      <c r="K85" s="2"/>
      <c r="L85" s="2"/>
      <c r="M85" s="2"/>
      <c r="N85" s="2"/>
      <c r="O85" s="2"/>
      <c r="P85" s="2"/>
      <c r="Q85" s="2"/>
      <c r="R85" s="2"/>
      <c r="S85" s="2"/>
      <c r="T85" s="2"/>
      <c r="U85" s="2"/>
      <c r="V85" s="2"/>
      <c r="W85" s="2"/>
      <c r="X85" s="2"/>
      <c r="Y85" s="2"/>
      <c r="Z85" s="2"/>
    </row>
    <row r="86" spans="1:26">
      <c r="A86" s="2"/>
      <c r="B86" s="2"/>
      <c r="C86" s="2"/>
      <c r="D86" s="2"/>
      <c r="E86" s="2"/>
      <c r="F86" s="2"/>
      <c r="G86" s="2"/>
      <c r="H86" s="2"/>
      <c r="I86" s="2"/>
      <c r="J86" s="2"/>
      <c r="K86" s="2"/>
      <c r="L86" s="2"/>
      <c r="M86" s="2"/>
      <c r="N86" s="2"/>
      <c r="O86" s="2"/>
      <c r="P86" s="2"/>
      <c r="Q86" s="2"/>
      <c r="R86" s="2"/>
      <c r="S86" s="2"/>
      <c r="T86" s="2"/>
      <c r="U86" s="2"/>
      <c r="V86" s="2"/>
      <c r="W86" s="2"/>
      <c r="X86" s="2"/>
      <c r="Y86" s="2"/>
      <c r="Z86" s="2"/>
    </row>
    <row r="87" spans="1:26">
      <c r="A87" s="2"/>
      <c r="B87" s="2"/>
      <c r="C87" s="2"/>
      <c r="D87" s="2"/>
      <c r="E87" s="2"/>
      <c r="F87" s="2"/>
      <c r="G87" s="2"/>
      <c r="H87" s="2"/>
      <c r="I87" s="2"/>
      <c r="J87" s="2"/>
      <c r="K87" s="2"/>
      <c r="L87" s="2"/>
      <c r="M87" s="2"/>
      <c r="N87" s="2"/>
      <c r="O87" s="2"/>
      <c r="P87" s="2"/>
      <c r="Q87" s="2"/>
      <c r="R87" s="2"/>
      <c r="S87" s="2"/>
      <c r="T87" s="2"/>
      <c r="U87" s="2"/>
      <c r="V87" s="2"/>
      <c r="W87" s="2"/>
      <c r="X87" s="2"/>
      <c r="Y87" s="2"/>
      <c r="Z87" s="2"/>
    </row>
    <row r="88" spans="1:26">
      <c r="A88" s="2"/>
      <c r="B88" s="2"/>
      <c r="C88" s="2"/>
      <c r="D88" s="2"/>
      <c r="E88" s="2"/>
      <c r="F88" s="2"/>
      <c r="G88" s="2"/>
      <c r="H88" s="2"/>
      <c r="I88" s="2"/>
      <c r="J88" s="2"/>
      <c r="K88" s="2"/>
      <c r="L88" s="2"/>
      <c r="M88" s="2"/>
      <c r="N88" s="2"/>
      <c r="O88" s="2"/>
      <c r="P88" s="2"/>
      <c r="Q88" s="2"/>
      <c r="R88" s="2"/>
      <c r="S88" s="2"/>
      <c r="T88" s="2"/>
      <c r="U88" s="2"/>
      <c r="V88" s="2"/>
      <c r="W88" s="2"/>
      <c r="X88" s="2"/>
      <c r="Y88" s="2"/>
      <c r="Z88" s="2"/>
    </row>
    <row r="89" spans="1:26">
      <c r="A89" s="2"/>
      <c r="B89" s="2"/>
      <c r="C89" s="2"/>
      <c r="D89" s="2"/>
      <c r="E89" s="2"/>
      <c r="F89" s="2"/>
      <c r="G89" s="2"/>
      <c r="H89" s="2"/>
      <c r="I89" s="2"/>
      <c r="J89" s="2"/>
      <c r="K89" s="2"/>
      <c r="L89" s="2"/>
      <c r="M89" s="2"/>
      <c r="N89" s="2"/>
      <c r="O89" s="2"/>
      <c r="P89" s="2"/>
      <c r="Q89" s="2"/>
      <c r="R89" s="2"/>
      <c r="S89" s="2"/>
      <c r="T89" s="2"/>
      <c r="U89" s="2"/>
      <c r="V89" s="2"/>
      <c r="W89" s="2"/>
      <c r="X89" s="2"/>
      <c r="Y89" s="2"/>
      <c r="Z89" s="2"/>
    </row>
    <row r="90" spans="1:26">
      <c r="A90" s="2"/>
      <c r="B90" s="2"/>
      <c r="C90" s="2"/>
      <c r="D90" s="2"/>
      <c r="E90" s="2"/>
      <c r="F90" s="2"/>
      <c r="G90" s="2"/>
      <c r="H90" s="2"/>
      <c r="I90" s="2"/>
      <c r="J90" s="2"/>
      <c r="K90" s="2"/>
      <c r="L90" s="2"/>
      <c r="M90" s="2"/>
      <c r="N90" s="2"/>
      <c r="O90" s="2"/>
      <c r="P90" s="2"/>
      <c r="Q90" s="2"/>
      <c r="R90" s="2"/>
      <c r="S90" s="2"/>
      <c r="T90" s="2"/>
      <c r="U90" s="2"/>
      <c r="V90" s="2"/>
      <c r="W90" s="2"/>
      <c r="X90" s="2"/>
      <c r="Y90" s="2"/>
      <c r="Z90" s="2"/>
    </row>
    <row r="91" spans="1:26">
      <c r="A91" s="2"/>
      <c r="B91" s="2"/>
      <c r="C91" s="2"/>
      <c r="D91" s="2"/>
      <c r="E91" s="2"/>
      <c r="F91" s="2"/>
      <c r="G91" s="2"/>
      <c r="H91" s="2"/>
      <c r="I91" s="2"/>
      <c r="J91" s="2"/>
      <c r="K91" s="2"/>
      <c r="L91" s="2"/>
      <c r="M91" s="2"/>
      <c r="N91" s="2"/>
      <c r="O91" s="2"/>
      <c r="P91" s="2"/>
      <c r="Q91" s="2"/>
      <c r="R91" s="2"/>
      <c r="S91" s="2"/>
      <c r="T91" s="2"/>
      <c r="U91" s="2"/>
      <c r="V91" s="2"/>
      <c r="W91" s="2"/>
      <c r="X91" s="2"/>
      <c r="Y91" s="2"/>
      <c r="Z91" s="2"/>
    </row>
    <row r="92" spans="1:26">
      <c r="A92" s="2"/>
      <c r="B92" s="2"/>
      <c r="C92" s="2"/>
      <c r="D92" s="2"/>
      <c r="E92" s="2"/>
      <c r="F92" s="2"/>
      <c r="G92" s="2"/>
      <c r="H92" s="2"/>
      <c r="I92" s="2"/>
      <c r="J92" s="2"/>
      <c r="K92" s="2"/>
      <c r="L92" s="2"/>
      <c r="M92" s="2"/>
      <c r="N92" s="2"/>
      <c r="O92" s="2"/>
      <c r="P92" s="2"/>
      <c r="Q92" s="2"/>
      <c r="R92" s="2"/>
      <c r="S92" s="2"/>
      <c r="T92" s="2"/>
      <c r="U92" s="2"/>
      <c r="V92" s="2"/>
      <c r="W92" s="2"/>
      <c r="X92" s="2"/>
      <c r="Y92" s="2"/>
      <c r="Z92" s="2"/>
    </row>
    <row r="93" spans="1:26">
      <c r="A93" s="2"/>
      <c r="B93" s="2"/>
      <c r="C93" s="2"/>
      <c r="D93" s="2"/>
      <c r="E93" s="2"/>
      <c r="F93" s="2"/>
      <c r="G93" s="2"/>
      <c r="H93" s="2"/>
      <c r="I93" s="2"/>
      <c r="J93" s="2"/>
      <c r="K93" s="2"/>
      <c r="L93" s="2"/>
      <c r="M93" s="2"/>
      <c r="N93" s="2"/>
      <c r="O93" s="2"/>
      <c r="P93" s="2"/>
      <c r="Q93" s="2"/>
      <c r="R93" s="2"/>
      <c r="S93" s="2"/>
      <c r="T93" s="2"/>
      <c r="U93" s="2"/>
      <c r="V93" s="2"/>
      <c r="W93" s="2"/>
      <c r="X93" s="2"/>
      <c r="Y93" s="2"/>
      <c r="Z93" s="2"/>
    </row>
    <row r="94" spans="1:26">
      <c r="A94" s="2"/>
      <c r="B94" s="2"/>
      <c r="C94" s="2"/>
      <c r="D94" s="2"/>
      <c r="E94" s="2"/>
      <c r="F94" s="2"/>
      <c r="G94" s="2"/>
      <c r="H94" s="2"/>
      <c r="I94" s="2"/>
      <c r="J94" s="2"/>
      <c r="K94" s="2"/>
      <c r="L94" s="2"/>
      <c r="M94" s="2"/>
      <c r="N94" s="2"/>
      <c r="O94" s="2"/>
      <c r="P94" s="2"/>
      <c r="Q94" s="2"/>
      <c r="R94" s="2"/>
      <c r="S94" s="2"/>
      <c r="T94" s="2"/>
      <c r="U94" s="2"/>
      <c r="V94" s="2"/>
      <c r="W94" s="2"/>
      <c r="X94" s="2"/>
      <c r="Y94" s="2"/>
      <c r="Z94" s="2"/>
    </row>
    <row r="95" spans="1:26">
      <c r="A95" s="2"/>
      <c r="B95" s="2"/>
      <c r="C95" s="2"/>
      <c r="D95" s="2"/>
      <c r="E95" s="2"/>
      <c r="F95" s="2"/>
      <c r="G95" s="2"/>
      <c r="H95" s="2"/>
      <c r="I95" s="2"/>
      <c r="J95" s="2"/>
      <c r="K95" s="2"/>
      <c r="L95" s="2"/>
      <c r="M95" s="2"/>
      <c r="N95" s="2"/>
      <c r="O95" s="2"/>
      <c r="P95" s="2"/>
      <c r="Q95" s="2"/>
      <c r="R95" s="2"/>
      <c r="S95" s="2"/>
      <c r="T95" s="2"/>
      <c r="U95" s="2"/>
      <c r="V95" s="2"/>
      <c r="W95" s="2"/>
      <c r="X95" s="2"/>
      <c r="Y95" s="2"/>
      <c r="Z95" s="2"/>
    </row>
    <row r="96" spans="1:26">
      <c r="A96" s="2"/>
      <c r="B96" s="2"/>
      <c r="C96" s="2"/>
      <c r="D96" s="2"/>
      <c r="E96" s="2"/>
      <c r="F96" s="2"/>
      <c r="G96" s="2"/>
      <c r="H96" s="2"/>
      <c r="I96" s="2"/>
      <c r="J96" s="2"/>
      <c r="K96" s="2"/>
      <c r="L96" s="2"/>
      <c r="M96" s="2"/>
      <c r="N96" s="2"/>
      <c r="O96" s="2"/>
      <c r="P96" s="2"/>
      <c r="Q96" s="2"/>
      <c r="R96" s="2"/>
      <c r="S96" s="2"/>
      <c r="T96" s="2"/>
      <c r="U96" s="2"/>
      <c r="V96" s="2"/>
      <c r="W96" s="2"/>
      <c r="X96" s="2"/>
      <c r="Y96" s="2"/>
      <c r="Z96" s="2"/>
    </row>
    <row r="97" spans="1:26">
      <c r="A97" s="2"/>
      <c r="B97" s="2"/>
      <c r="C97" s="2"/>
      <c r="D97" s="2"/>
      <c r="E97" s="2"/>
      <c r="F97" s="2"/>
      <c r="G97" s="2"/>
      <c r="H97" s="2"/>
      <c r="I97" s="2"/>
      <c r="J97" s="2"/>
      <c r="K97" s="2"/>
      <c r="L97" s="2"/>
      <c r="M97" s="2"/>
      <c r="N97" s="2"/>
      <c r="O97" s="2"/>
      <c r="P97" s="2"/>
      <c r="Q97" s="2"/>
      <c r="R97" s="2"/>
      <c r="S97" s="2"/>
      <c r="T97" s="2"/>
      <c r="U97" s="2"/>
      <c r="V97" s="2"/>
      <c r="W97" s="2"/>
      <c r="X97" s="2"/>
      <c r="Y97" s="2"/>
      <c r="Z97" s="2"/>
    </row>
    <row r="98" spans="1:26">
      <c r="A98" s="2"/>
      <c r="B98" s="2"/>
      <c r="C98" s="2"/>
      <c r="D98" s="2"/>
      <c r="E98" s="2"/>
      <c r="F98" s="2"/>
      <c r="G98" s="2"/>
      <c r="H98" s="2"/>
      <c r="I98" s="2"/>
      <c r="J98" s="2"/>
      <c r="K98" s="2"/>
      <c r="L98" s="2"/>
      <c r="M98" s="2"/>
      <c r="N98" s="2"/>
      <c r="O98" s="2"/>
      <c r="P98" s="2"/>
      <c r="Q98" s="2"/>
      <c r="R98" s="2"/>
      <c r="S98" s="2"/>
      <c r="T98" s="2"/>
      <c r="U98" s="2"/>
      <c r="V98" s="2"/>
      <c r="W98" s="2"/>
      <c r="X98" s="2"/>
      <c r="Y98" s="2"/>
      <c r="Z98" s="2"/>
    </row>
    <row r="99" spans="1:26">
      <c r="A99" s="2"/>
      <c r="B99" s="2"/>
      <c r="C99" s="2"/>
      <c r="D99" s="2"/>
      <c r="E99" s="2"/>
      <c r="F99" s="2"/>
      <c r="G99" s="2"/>
      <c r="H99" s="2"/>
      <c r="I99" s="2"/>
      <c r="J99" s="2"/>
      <c r="K99" s="2"/>
      <c r="L99" s="2"/>
      <c r="M99" s="2"/>
      <c r="N99" s="2"/>
      <c r="O99" s="2"/>
      <c r="P99" s="2"/>
      <c r="Q99" s="2"/>
      <c r="R99" s="2"/>
      <c r="S99" s="2"/>
      <c r="T99" s="2"/>
      <c r="U99" s="2"/>
      <c r="V99" s="2"/>
      <c r="W99" s="2"/>
      <c r="X99" s="2"/>
      <c r="Y99" s="2"/>
      <c r="Z99" s="2"/>
    </row>
    <row r="100" spans="1:26">
      <c r="A100" s="2"/>
      <c r="B100" s="2"/>
      <c r="C100" s="2"/>
      <c r="D100" s="2"/>
      <c r="E100" s="2"/>
      <c r="F100" s="2"/>
      <c r="G100" s="2"/>
      <c r="H100" s="2"/>
      <c r="I100" s="2"/>
      <c r="J100" s="2"/>
      <c r="K100" s="2"/>
      <c r="L100" s="2"/>
      <c r="M100" s="2"/>
      <c r="N100" s="2"/>
      <c r="O100" s="2"/>
      <c r="P100" s="2"/>
      <c r="Q100" s="2"/>
      <c r="R100" s="2"/>
      <c r="S100" s="2"/>
      <c r="T100" s="2"/>
      <c r="U100" s="2"/>
      <c r="V100" s="2"/>
      <c r="W100" s="2"/>
      <c r="X100" s="2"/>
      <c r="Y100" s="2"/>
      <c r="Z100" s="2"/>
    </row>
  </sheetData>
  <mergeCells count="3">
    <mergeCell ref="A10:G10"/>
    <mergeCell ref="A1:G2"/>
    <mergeCell ref="A11:G14"/>
  </mergeCells>
  <pageMargins left="0.7" right="0.7" top="0.75" bottom="0.75" header="0.3" footer="0.3"/>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Z100"/>
  <sheetViews>
    <sheetView workbookViewId="0">
      <selection activeCell="A1" sqref="A1:H2"/>
    </sheetView>
  </sheetViews>
  <sheetFormatPr defaultColWidth="9" defaultRowHeight="14.25"/>
  <cols>
    <col min="1" max="1" width="10" customWidth="1"/>
    <col min="2" max="2" width="43" customWidth="1"/>
    <col min="3" max="3" width="16" customWidth="1"/>
    <col min="4" max="5" width="12" customWidth="1"/>
    <col min="6" max="6" width="55" customWidth="1"/>
    <col min="7" max="7" width="25" customWidth="1"/>
    <col min="8" max="8" width="14" customWidth="1"/>
  </cols>
  <sheetData>
    <row r="1" spans="1:26">
      <c r="A1" s="1" t="s">
        <v>287</v>
      </c>
      <c r="B1" s="1"/>
      <c r="C1" s="1"/>
      <c r="D1" s="1"/>
      <c r="E1" s="1"/>
      <c r="F1" s="1"/>
      <c r="G1" s="1"/>
      <c r="H1" s="1"/>
      <c r="I1" s="2"/>
      <c r="J1" s="2"/>
      <c r="K1" s="2"/>
      <c r="L1" s="2"/>
      <c r="M1" s="2"/>
      <c r="N1" s="2"/>
      <c r="O1" s="2"/>
      <c r="P1" s="2"/>
      <c r="Q1" s="2"/>
      <c r="R1" s="2"/>
      <c r="S1" s="2"/>
      <c r="T1" s="2"/>
      <c r="U1" s="2"/>
      <c r="V1" s="2"/>
      <c r="W1" s="2"/>
      <c r="X1" s="2"/>
      <c r="Y1" s="2"/>
      <c r="Z1" s="2"/>
    </row>
    <row r="2" spans="1:26">
      <c r="A2" s="1"/>
      <c r="B2" s="1"/>
      <c r="C2" s="1"/>
      <c r="D2" s="1"/>
      <c r="E2" s="1"/>
      <c r="F2" s="1"/>
      <c r="G2" s="1"/>
      <c r="H2" s="1"/>
      <c r="I2" s="2"/>
      <c r="J2" s="2"/>
      <c r="K2" s="2"/>
      <c r="L2" s="2"/>
      <c r="M2" s="2"/>
      <c r="N2" s="2"/>
      <c r="O2" s="2"/>
      <c r="P2" s="2"/>
      <c r="Q2" s="2"/>
      <c r="R2" s="2"/>
      <c r="S2" s="2"/>
      <c r="T2" s="2"/>
      <c r="U2" s="2"/>
      <c r="V2" s="2"/>
      <c r="W2" s="2"/>
      <c r="X2" s="2"/>
      <c r="Y2" s="2"/>
      <c r="Z2" s="2"/>
    </row>
    <row r="3" spans="1:26">
      <c r="A3" s="2"/>
      <c r="B3" s="2"/>
      <c r="C3" s="2"/>
      <c r="D3" s="2"/>
      <c r="E3" s="2"/>
      <c r="F3" s="2"/>
      <c r="G3" s="2"/>
      <c r="H3" s="2"/>
      <c r="I3" s="2"/>
      <c r="J3" s="2"/>
      <c r="K3" s="2"/>
      <c r="L3" s="2"/>
      <c r="M3" s="2"/>
      <c r="N3" s="2"/>
      <c r="O3" s="2"/>
      <c r="P3" s="2"/>
      <c r="Q3" s="2"/>
      <c r="R3" s="2"/>
      <c r="S3" s="2"/>
      <c r="T3" s="2"/>
      <c r="U3" s="2"/>
      <c r="V3" s="2"/>
      <c r="W3" s="2"/>
      <c r="X3" s="2"/>
      <c r="Y3" s="2"/>
      <c r="Z3" s="2"/>
    </row>
    <row r="4" ht="30" spans="1:26">
      <c r="A4" s="3" t="s">
        <v>90</v>
      </c>
      <c r="B4" s="3" t="s">
        <v>288</v>
      </c>
      <c r="C4" s="3" t="s">
        <v>289</v>
      </c>
      <c r="D4" s="3" t="s">
        <v>290</v>
      </c>
      <c r="E4" s="3" t="s">
        <v>291</v>
      </c>
      <c r="F4" s="3" t="s">
        <v>292</v>
      </c>
      <c r="G4" s="3" t="s">
        <v>293</v>
      </c>
      <c r="H4" s="3" t="s">
        <v>87</v>
      </c>
      <c r="I4" s="2"/>
      <c r="J4" s="2"/>
      <c r="K4" s="2"/>
      <c r="L4" s="2"/>
      <c r="M4" s="2"/>
      <c r="N4" s="2"/>
      <c r="O4" s="2"/>
      <c r="P4" s="2"/>
      <c r="Q4" s="2"/>
      <c r="R4" s="2"/>
      <c r="S4" s="2"/>
      <c r="T4" s="2"/>
      <c r="U4" s="2"/>
      <c r="V4" s="2"/>
      <c r="W4" s="2"/>
      <c r="X4" s="2"/>
      <c r="Y4" s="2"/>
      <c r="Z4" s="2"/>
    </row>
    <row r="5" ht="142.5" spans="1:26">
      <c r="A5" s="4" t="s">
        <v>294</v>
      </c>
      <c r="B5" s="4" t="s">
        <v>295</v>
      </c>
      <c r="C5" s="4" t="s">
        <v>28</v>
      </c>
      <c r="D5" s="4" t="s">
        <v>296</v>
      </c>
      <c r="E5" s="4" t="s">
        <v>297</v>
      </c>
      <c r="F5" s="4" t="s">
        <v>298</v>
      </c>
      <c r="G5" s="4" t="s">
        <v>104</v>
      </c>
      <c r="H5" s="4" t="s">
        <v>299</v>
      </c>
      <c r="I5" s="2"/>
      <c r="J5" s="2"/>
      <c r="K5" s="2"/>
      <c r="L5" s="2"/>
      <c r="M5" s="2"/>
      <c r="N5" s="2"/>
      <c r="O5" s="2"/>
      <c r="P5" s="2"/>
      <c r="Q5" s="2"/>
      <c r="R5" s="2"/>
      <c r="S5" s="2"/>
      <c r="T5" s="2"/>
      <c r="U5" s="2"/>
      <c r="V5" s="2"/>
      <c r="W5" s="2"/>
      <c r="X5" s="2"/>
      <c r="Y5" s="2"/>
      <c r="Z5" s="2"/>
    </row>
    <row r="6" ht="28.5" spans="1:26">
      <c r="A6" s="4" t="s">
        <v>300</v>
      </c>
      <c r="B6" s="4" t="s">
        <v>301</v>
      </c>
      <c r="C6" s="4" t="s">
        <v>302</v>
      </c>
      <c r="D6" s="4" t="s">
        <v>296</v>
      </c>
      <c r="E6" s="4" t="s">
        <v>297</v>
      </c>
      <c r="F6" s="4" t="s">
        <v>303</v>
      </c>
      <c r="G6" s="4" t="s">
        <v>120</v>
      </c>
      <c r="H6" s="4" t="s">
        <v>299</v>
      </c>
      <c r="I6" s="2"/>
      <c r="J6" s="2"/>
      <c r="K6" s="2"/>
      <c r="L6" s="2"/>
      <c r="M6" s="2"/>
      <c r="N6" s="2"/>
      <c r="O6" s="2"/>
      <c r="P6" s="2"/>
      <c r="Q6" s="2"/>
      <c r="R6" s="2"/>
      <c r="S6" s="2"/>
      <c r="T6" s="2"/>
      <c r="U6" s="2"/>
      <c r="V6" s="2"/>
      <c r="W6" s="2"/>
      <c r="X6" s="2"/>
      <c r="Y6" s="2"/>
      <c r="Z6" s="2"/>
    </row>
    <row r="7" ht="28.5" spans="1:26">
      <c r="A7" s="4" t="s">
        <v>304</v>
      </c>
      <c r="B7" s="4" t="s">
        <v>305</v>
      </c>
      <c r="C7" s="4" t="s">
        <v>302</v>
      </c>
      <c r="D7" s="4" t="s">
        <v>296</v>
      </c>
      <c r="E7" s="4" t="s">
        <v>297</v>
      </c>
      <c r="F7" s="4" t="s">
        <v>306</v>
      </c>
      <c r="G7" s="4" t="s">
        <v>81</v>
      </c>
      <c r="H7" s="4" t="s">
        <v>299</v>
      </c>
      <c r="I7" s="2"/>
      <c r="J7" s="2"/>
      <c r="K7" s="2"/>
      <c r="L7" s="2"/>
      <c r="M7" s="2"/>
      <c r="N7" s="2"/>
      <c r="O7" s="2"/>
      <c r="P7" s="2"/>
      <c r="Q7" s="2"/>
      <c r="R7" s="2"/>
      <c r="S7" s="2"/>
      <c r="T7" s="2"/>
      <c r="U7" s="2"/>
      <c r="V7" s="2"/>
      <c r="W7" s="2"/>
      <c r="X7" s="2"/>
      <c r="Y7" s="2"/>
      <c r="Z7" s="2"/>
    </row>
    <row r="8" ht="42.75" spans="1:26">
      <c r="A8" s="4" t="s">
        <v>307</v>
      </c>
      <c r="B8" s="4" t="s">
        <v>308</v>
      </c>
      <c r="C8" s="4" t="s">
        <v>28</v>
      </c>
      <c r="D8" s="4" t="s">
        <v>296</v>
      </c>
      <c r="E8" s="4" t="s">
        <v>296</v>
      </c>
      <c r="F8" s="4" t="s">
        <v>309</v>
      </c>
      <c r="G8" s="4" t="s">
        <v>104</v>
      </c>
      <c r="H8" s="4" t="s">
        <v>299</v>
      </c>
      <c r="I8" s="2"/>
      <c r="J8" s="2"/>
      <c r="K8" s="2"/>
      <c r="L8" s="2"/>
      <c r="M8" s="2"/>
      <c r="N8" s="2"/>
      <c r="O8" s="2"/>
      <c r="P8" s="2"/>
      <c r="Q8" s="2"/>
      <c r="R8" s="2"/>
      <c r="S8" s="2"/>
      <c r="T8" s="2"/>
      <c r="U8" s="2"/>
      <c r="V8" s="2"/>
      <c r="W8" s="2"/>
      <c r="X8" s="2"/>
      <c r="Y8" s="2"/>
      <c r="Z8" s="2"/>
    </row>
    <row r="9" ht="42.75" spans="1:26">
      <c r="A9" s="4" t="s">
        <v>310</v>
      </c>
      <c r="B9" s="4" t="s">
        <v>311</v>
      </c>
      <c r="C9" s="4" t="s">
        <v>312</v>
      </c>
      <c r="D9" s="4" t="s">
        <v>296</v>
      </c>
      <c r="E9" s="4" t="s">
        <v>297</v>
      </c>
      <c r="F9" s="4" t="s">
        <v>313</v>
      </c>
      <c r="G9" s="4" t="s">
        <v>104</v>
      </c>
      <c r="H9" s="4" t="s">
        <v>299</v>
      </c>
      <c r="I9" s="2"/>
      <c r="J9" s="2"/>
      <c r="K9" s="2"/>
      <c r="L9" s="2"/>
      <c r="M9" s="2"/>
      <c r="N9" s="2"/>
      <c r="O9" s="2"/>
      <c r="P9" s="2"/>
      <c r="Q9" s="2"/>
      <c r="R9" s="2"/>
      <c r="S9" s="2"/>
      <c r="T9" s="2"/>
      <c r="U9" s="2"/>
      <c r="V9" s="2"/>
      <c r="W9" s="2"/>
      <c r="X9" s="2"/>
      <c r="Y9" s="2"/>
      <c r="Z9" s="2"/>
    </row>
    <row r="10" ht="28.5" spans="1:26">
      <c r="A10" s="4" t="s">
        <v>314</v>
      </c>
      <c r="B10" s="4" t="s">
        <v>315</v>
      </c>
      <c r="C10" s="4" t="s">
        <v>316</v>
      </c>
      <c r="D10" s="4" t="s">
        <v>296</v>
      </c>
      <c r="E10" s="4" t="s">
        <v>297</v>
      </c>
      <c r="F10" s="4" t="s">
        <v>317</v>
      </c>
      <c r="G10" s="4" t="s">
        <v>318</v>
      </c>
      <c r="H10" s="4" t="s">
        <v>299</v>
      </c>
      <c r="I10" s="2"/>
      <c r="J10" s="2"/>
      <c r="K10" s="2"/>
      <c r="L10" s="2"/>
      <c r="M10" s="2"/>
      <c r="N10" s="2"/>
      <c r="O10" s="2"/>
      <c r="P10" s="2"/>
      <c r="Q10" s="2"/>
      <c r="R10" s="2"/>
      <c r="S10" s="2"/>
      <c r="T10" s="2"/>
      <c r="U10" s="2"/>
      <c r="V10" s="2"/>
      <c r="W10" s="2"/>
      <c r="X10" s="2"/>
      <c r="Y10" s="2"/>
      <c r="Z10" s="2"/>
    </row>
    <row r="11" spans="1:26">
      <c r="A11" s="4" t="s">
        <v>319</v>
      </c>
      <c r="B11" s="4" t="s">
        <v>320</v>
      </c>
      <c r="C11" s="4" t="s">
        <v>316</v>
      </c>
      <c r="D11" s="4" t="s">
        <v>296</v>
      </c>
      <c r="E11" s="4" t="s">
        <v>321</v>
      </c>
      <c r="F11" s="4" t="s">
        <v>322</v>
      </c>
      <c r="G11" s="4" t="s">
        <v>323</v>
      </c>
      <c r="H11" s="4" t="s">
        <v>299</v>
      </c>
      <c r="I11" s="2"/>
      <c r="J11" s="2"/>
      <c r="K11" s="2"/>
      <c r="L11" s="2"/>
      <c r="M11" s="2"/>
      <c r="N11" s="2"/>
      <c r="O11" s="2"/>
      <c r="P11" s="2"/>
      <c r="Q11" s="2"/>
      <c r="R11" s="2"/>
      <c r="S11" s="2"/>
      <c r="T11" s="2"/>
      <c r="U11" s="2"/>
      <c r="V11" s="2"/>
      <c r="W11" s="2"/>
      <c r="X11" s="2"/>
      <c r="Y11" s="2"/>
      <c r="Z11" s="2"/>
    </row>
    <row r="12" ht="57.0" spans="1:26">
      <c r="A12" s="4" t="s">
        <v>324</v>
      </c>
      <c r="B12" s="4" t="s">
        <v>325</v>
      </c>
      <c r="C12" s="4" t="s">
        <v>326</v>
      </c>
      <c r="D12" s="4" t="s">
        <v>296</v>
      </c>
      <c r="E12" s="4" t="s">
        <v>321</v>
      </c>
      <c r="F12" s="4" t="s">
        <v>327</v>
      </c>
      <c r="G12" s="4" t="s">
        <v>80</v>
      </c>
      <c r="H12" s="4" t="s">
        <v>299</v>
      </c>
      <c r="I12" s="2"/>
      <c r="J12" s="2"/>
      <c r="K12" s="2"/>
      <c r="L12" s="2"/>
      <c r="M12" s="2"/>
      <c r="N12" s="2"/>
      <c r="O12" s="2"/>
      <c r="P12" s="2"/>
      <c r="Q12" s="2"/>
      <c r="R12" s="2"/>
      <c r="S12" s="2"/>
      <c r="T12" s="2"/>
      <c r="U12" s="2"/>
      <c r="V12" s="2"/>
      <c r="W12" s="2"/>
      <c r="X12" s="2"/>
      <c r="Y12" s="2"/>
      <c r="Z12" s="2"/>
    </row>
    <row r="13" spans="1:26">
      <c r="A13" s="2"/>
      <c r="B13" s="2"/>
      <c r="C13" s="2"/>
      <c r="D13" s="2"/>
      <c r="E13" s="2"/>
      <c r="F13" s="2"/>
      <c r="G13" s="2"/>
      <c r="H13" s="2"/>
      <c r="I13" s="2"/>
      <c r="J13" s="2"/>
      <c r="K13" s="2"/>
      <c r="L13" s="2"/>
      <c r="M13" s="2"/>
      <c r="N13" s="2"/>
      <c r="O13" s="2"/>
      <c r="P13" s="2"/>
      <c r="Q13" s="2"/>
      <c r="R13" s="2"/>
      <c r="S13" s="2"/>
      <c r="T13" s="2"/>
      <c r="U13" s="2"/>
      <c r="V13" s="2"/>
      <c r="W13" s="2"/>
      <c r="X13" s="2"/>
      <c r="Y13" s="2"/>
      <c r="Z13" s="2"/>
    </row>
    <row r="14" spans="1:26">
      <c r="A14" s="2"/>
      <c r="B14" s="2"/>
      <c r="C14" s="2"/>
      <c r="D14" s="2"/>
      <c r="E14" s="2"/>
      <c r="F14" s="2"/>
      <c r="G14" s="2"/>
      <c r="H14" s="2"/>
      <c r="I14" s="2"/>
      <c r="J14" s="2"/>
      <c r="K14" s="2"/>
      <c r="L14" s="2"/>
      <c r="M14" s="2"/>
      <c r="N14" s="2"/>
      <c r="O14" s="2"/>
      <c r="P14" s="2"/>
      <c r="Q14" s="2"/>
      <c r="R14" s="2"/>
      <c r="S14" s="2"/>
      <c r="T14" s="2"/>
      <c r="U14" s="2"/>
      <c r="V14" s="2"/>
      <c r="W14" s="2"/>
      <c r="X14" s="2"/>
      <c r="Y14" s="2"/>
      <c r="Z14" s="2"/>
    </row>
    <row r="15" spans="1:26">
      <c r="A15" s="2"/>
      <c r="B15" s="2"/>
      <c r="C15" s="2"/>
      <c r="D15" s="2"/>
      <c r="E15" s="2"/>
      <c r="F15" s="2"/>
      <c r="G15" s="2"/>
      <c r="H15" s="2"/>
      <c r="I15" s="2"/>
      <c r="J15" s="2"/>
      <c r="K15" s="2"/>
      <c r="L15" s="2"/>
      <c r="M15" s="2"/>
      <c r="N15" s="2"/>
      <c r="O15" s="2"/>
      <c r="P15" s="2"/>
      <c r="Q15" s="2"/>
      <c r="R15" s="2"/>
      <c r="S15" s="2"/>
      <c r="T15" s="2"/>
      <c r="U15" s="2"/>
      <c r="V15" s="2"/>
      <c r="W15" s="2"/>
      <c r="X15" s="2"/>
      <c r="Y15" s="2"/>
      <c r="Z15" s="2"/>
    </row>
    <row r="16" spans="1:26">
      <c r="A16" s="2"/>
      <c r="B16" s="2"/>
      <c r="C16" s="2"/>
      <c r="D16" s="2"/>
      <c r="E16" s="2"/>
      <c r="F16" s="2"/>
      <c r="G16" s="2"/>
      <c r="H16" s="2"/>
      <c r="I16" s="2"/>
      <c r="J16" s="2"/>
      <c r="K16" s="2"/>
      <c r="L16" s="2"/>
      <c r="M16" s="2"/>
      <c r="N16" s="2"/>
      <c r="O16" s="2"/>
      <c r="P16" s="2"/>
      <c r="Q16" s="2"/>
      <c r="R16" s="2"/>
      <c r="S16" s="2"/>
      <c r="T16" s="2"/>
      <c r="U16" s="2"/>
      <c r="V16" s="2"/>
      <c r="W16" s="2"/>
      <c r="X16" s="2"/>
      <c r="Y16" s="2"/>
      <c r="Z16" s="2"/>
    </row>
    <row r="17" spans="1:26">
      <c r="A17" s="2"/>
      <c r="B17" s="2"/>
      <c r="C17" s="2"/>
      <c r="D17" s="2"/>
      <c r="E17" s="2"/>
      <c r="F17" s="2"/>
      <c r="G17" s="2"/>
      <c r="H17" s="2"/>
      <c r="I17" s="2"/>
      <c r="J17" s="2"/>
      <c r="K17" s="2"/>
      <c r="L17" s="2"/>
      <c r="M17" s="2"/>
      <c r="N17" s="2"/>
      <c r="O17" s="2"/>
      <c r="P17" s="2"/>
      <c r="Q17" s="2"/>
      <c r="R17" s="2"/>
      <c r="S17" s="2"/>
      <c r="T17" s="2"/>
      <c r="U17" s="2"/>
      <c r="V17" s="2"/>
      <c r="W17" s="2"/>
      <c r="X17" s="2"/>
      <c r="Y17" s="2"/>
      <c r="Z17" s="2"/>
    </row>
    <row r="18" spans="1:26">
      <c r="A18" s="2"/>
      <c r="B18" s="2"/>
      <c r="C18" s="2"/>
      <c r="D18" s="2"/>
      <c r="E18" s="2"/>
      <c r="F18" s="2"/>
      <c r="G18" s="2"/>
      <c r="H18" s="2"/>
      <c r="I18" s="2"/>
      <c r="J18" s="2"/>
      <c r="K18" s="2"/>
      <c r="L18" s="2"/>
      <c r="M18" s="2"/>
      <c r="N18" s="2"/>
      <c r="O18" s="2"/>
      <c r="P18" s="2"/>
      <c r="Q18" s="2"/>
      <c r="R18" s="2"/>
      <c r="S18" s="2"/>
      <c r="T18" s="2"/>
      <c r="U18" s="2"/>
      <c r="V18" s="2"/>
      <c r="W18" s="2"/>
      <c r="X18" s="2"/>
      <c r="Y18" s="2"/>
      <c r="Z18" s="2"/>
    </row>
    <row r="19" spans="1:26">
      <c r="A19" s="2"/>
      <c r="B19" s="2"/>
      <c r="C19" s="2"/>
      <c r="D19" s="2"/>
      <c r="E19" s="2"/>
      <c r="F19" s="2"/>
      <c r="G19" s="2"/>
      <c r="H19" s="2"/>
      <c r="I19" s="2"/>
      <c r="J19" s="2"/>
      <c r="K19" s="2"/>
      <c r="L19" s="2"/>
      <c r="M19" s="2"/>
      <c r="N19" s="2"/>
      <c r="O19" s="2"/>
      <c r="P19" s="2"/>
      <c r="Q19" s="2"/>
      <c r="R19" s="2"/>
      <c r="S19" s="2"/>
      <c r="T19" s="2"/>
      <c r="U19" s="2"/>
      <c r="V19" s="2"/>
      <c r="W19" s="2"/>
      <c r="X19" s="2"/>
      <c r="Y19" s="2"/>
      <c r="Z19" s="2"/>
    </row>
    <row r="20" spans="1:26">
      <c r="A20" s="2"/>
      <c r="B20" s="2"/>
      <c r="C20" s="2"/>
      <c r="D20" s="2"/>
      <c r="E20" s="2"/>
      <c r="F20" s="2"/>
      <c r="G20" s="2"/>
      <c r="H20" s="2"/>
      <c r="I20" s="2"/>
      <c r="J20" s="2"/>
      <c r="K20" s="2"/>
      <c r="L20" s="2"/>
      <c r="M20" s="2"/>
      <c r="N20" s="2"/>
      <c r="O20" s="2"/>
      <c r="P20" s="2"/>
      <c r="Q20" s="2"/>
      <c r="R20" s="2"/>
      <c r="S20" s="2"/>
      <c r="T20" s="2"/>
      <c r="U20" s="2"/>
      <c r="V20" s="2"/>
      <c r="W20" s="2"/>
      <c r="X20" s="2"/>
      <c r="Y20" s="2"/>
      <c r="Z20" s="2"/>
    </row>
    <row r="21" spans="1:26">
      <c r="A21" s="2"/>
      <c r="B21" s="2"/>
      <c r="C21" s="2"/>
      <c r="D21" s="2"/>
      <c r="E21" s="2"/>
      <c r="F21" s="2"/>
      <c r="G21" s="2"/>
      <c r="H21" s="2"/>
      <c r="I21" s="2"/>
      <c r="J21" s="2"/>
      <c r="K21" s="2"/>
      <c r="L21" s="2"/>
      <c r="M21" s="2"/>
      <c r="N21" s="2"/>
      <c r="O21" s="2"/>
      <c r="P21" s="2"/>
      <c r="Q21" s="2"/>
      <c r="R21" s="2"/>
      <c r="S21" s="2"/>
      <c r="T21" s="2"/>
      <c r="U21" s="2"/>
      <c r="V21" s="2"/>
      <c r="W21" s="2"/>
      <c r="X21" s="2"/>
      <c r="Y21" s="2"/>
      <c r="Z21" s="2"/>
    </row>
    <row r="22" spans="1:26">
      <c r="A22" s="2"/>
      <c r="B22" s="2"/>
      <c r="C22" s="2"/>
      <c r="D22" s="2"/>
      <c r="E22" s="2"/>
      <c r="F22" s="2"/>
      <c r="G22" s="2"/>
      <c r="H22" s="2"/>
      <c r="I22" s="2"/>
      <c r="J22" s="2"/>
      <c r="K22" s="2"/>
      <c r="L22" s="2"/>
      <c r="M22" s="2"/>
      <c r="N22" s="2"/>
      <c r="O22" s="2"/>
      <c r="P22" s="2"/>
      <c r="Q22" s="2"/>
      <c r="R22" s="2"/>
      <c r="S22" s="2"/>
      <c r="T22" s="2"/>
      <c r="U22" s="2"/>
      <c r="V22" s="2"/>
      <c r="W22" s="2"/>
      <c r="X22" s="2"/>
      <c r="Y22" s="2"/>
      <c r="Z22" s="2"/>
    </row>
    <row r="23" spans="1:26">
      <c r="A23" s="2"/>
      <c r="B23" s="2"/>
      <c r="C23" s="2"/>
      <c r="D23" s="2"/>
      <c r="E23" s="2"/>
      <c r="F23" s="2"/>
      <c r="G23" s="2"/>
      <c r="H23" s="2"/>
      <c r="I23" s="2"/>
      <c r="J23" s="2"/>
      <c r="K23" s="2"/>
      <c r="L23" s="2"/>
      <c r="M23" s="2"/>
      <c r="N23" s="2"/>
      <c r="O23" s="2"/>
      <c r="P23" s="2"/>
      <c r="Q23" s="2"/>
      <c r="R23" s="2"/>
      <c r="S23" s="2"/>
      <c r="T23" s="2"/>
      <c r="U23" s="2"/>
      <c r="V23" s="2"/>
      <c r="W23" s="2"/>
      <c r="X23" s="2"/>
      <c r="Y23" s="2"/>
      <c r="Z23" s="2"/>
    </row>
    <row r="24" spans="1:26">
      <c r="A24" s="2"/>
      <c r="B24" s="2"/>
      <c r="C24" s="2"/>
      <c r="D24" s="2"/>
      <c r="E24" s="2"/>
      <c r="F24" s="2"/>
      <c r="G24" s="2"/>
      <c r="H24" s="2"/>
      <c r="I24" s="2"/>
      <c r="J24" s="2"/>
      <c r="K24" s="2"/>
      <c r="L24" s="2"/>
      <c r="M24" s="2"/>
      <c r="N24" s="2"/>
      <c r="O24" s="2"/>
      <c r="P24" s="2"/>
      <c r="Q24" s="2"/>
      <c r="R24" s="2"/>
      <c r="S24" s="2"/>
      <c r="T24" s="2"/>
      <c r="U24" s="2"/>
      <c r="V24" s="2"/>
      <c r="W24" s="2"/>
      <c r="X24" s="2"/>
      <c r="Y24" s="2"/>
      <c r="Z24" s="2"/>
    </row>
    <row r="25" spans="1:26">
      <c r="A25" s="2"/>
      <c r="B25" s="2"/>
      <c r="C25" s="2"/>
      <c r="D25" s="2"/>
      <c r="E25" s="2"/>
      <c r="F25" s="2"/>
      <c r="G25" s="2"/>
      <c r="H25" s="2"/>
      <c r="I25" s="2"/>
      <c r="J25" s="2"/>
      <c r="K25" s="2"/>
      <c r="L25" s="2"/>
      <c r="M25" s="2"/>
      <c r="N25" s="2"/>
      <c r="O25" s="2"/>
      <c r="P25" s="2"/>
      <c r="Q25" s="2"/>
      <c r="R25" s="2"/>
      <c r="S25" s="2"/>
      <c r="T25" s="2"/>
      <c r="U25" s="2"/>
      <c r="V25" s="2"/>
      <c r="W25" s="2"/>
      <c r="X25" s="2"/>
      <c r="Y25" s="2"/>
      <c r="Z25" s="2"/>
    </row>
    <row r="26" spans="1:26">
      <c r="A26" s="2"/>
      <c r="B26" s="2"/>
      <c r="C26" s="2"/>
      <c r="D26" s="2"/>
      <c r="E26" s="2"/>
      <c r="F26" s="2"/>
      <c r="G26" s="2"/>
      <c r="H26" s="2"/>
      <c r="I26" s="2"/>
      <c r="J26" s="2"/>
      <c r="K26" s="2"/>
      <c r="L26" s="2"/>
      <c r="M26" s="2"/>
      <c r="N26" s="2"/>
      <c r="O26" s="2"/>
      <c r="P26" s="2"/>
      <c r="Q26" s="2"/>
      <c r="R26" s="2"/>
      <c r="S26" s="2"/>
      <c r="T26" s="2"/>
      <c r="U26" s="2"/>
      <c r="V26" s="2"/>
      <c r="W26" s="2"/>
      <c r="X26" s="2"/>
      <c r="Y26" s="2"/>
      <c r="Z26" s="2"/>
    </row>
    <row r="27" spans="1:26">
      <c r="A27" s="2"/>
      <c r="B27" s="2"/>
      <c r="C27" s="2"/>
      <c r="D27" s="2"/>
      <c r="E27" s="2"/>
      <c r="F27" s="2"/>
      <c r="G27" s="2"/>
      <c r="H27" s="2"/>
      <c r="I27" s="2"/>
      <c r="J27" s="2"/>
      <c r="K27" s="2"/>
      <c r="L27" s="2"/>
      <c r="M27" s="2"/>
      <c r="N27" s="2"/>
      <c r="O27" s="2"/>
      <c r="P27" s="2"/>
      <c r="Q27" s="2"/>
      <c r="R27" s="2"/>
      <c r="S27" s="2"/>
      <c r="T27" s="2"/>
      <c r="U27" s="2"/>
      <c r="V27" s="2"/>
      <c r="W27" s="2"/>
      <c r="X27" s="2"/>
      <c r="Y27" s="2"/>
      <c r="Z27" s="2"/>
    </row>
    <row r="28" spans="1:26">
      <c r="A28" s="2"/>
      <c r="B28" s="2"/>
      <c r="C28" s="2"/>
      <c r="D28" s="2"/>
      <c r="E28" s="2"/>
      <c r="F28" s="2"/>
      <c r="G28" s="2"/>
      <c r="H28" s="2"/>
      <c r="I28" s="2"/>
      <c r="J28" s="2"/>
      <c r="K28" s="2"/>
      <c r="L28" s="2"/>
      <c r="M28" s="2"/>
      <c r="N28" s="2"/>
      <c r="O28" s="2"/>
      <c r="P28" s="2"/>
      <c r="Q28" s="2"/>
      <c r="R28" s="2"/>
      <c r="S28" s="2"/>
      <c r="T28" s="2"/>
      <c r="U28" s="2"/>
      <c r="V28" s="2"/>
      <c r="W28" s="2"/>
      <c r="X28" s="2"/>
      <c r="Y28" s="2"/>
      <c r="Z28" s="2"/>
    </row>
    <row r="29" spans="1:26">
      <c r="A29" s="2"/>
      <c r="B29" s="2"/>
      <c r="C29" s="2"/>
      <c r="D29" s="2"/>
      <c r="E29" s="2"/>
      <c r="F29" s="2"/>
      <c r="G29" s="2"/>
      <c r="H29" s="2"/>
      <c r="I29" s="2"/>
      <c r="J29" s="2"/>
      <c r="K29" s="2"/>
      <c r="L29" s="2"/>
      <c r="M29" s="2"/>
      <c r="N29" s="2"/>
      <c r="O29" s="2"/>
      <c r="P29" s="2"/>
      <c r="Q29" s="2"/>
      <c r="R29" s="2"/>
      <c r="S29" s="2"/>
      <c r="T29" s="2"/>
      <c r="U29" s="2"/>
      <c r="V29" s="2"/>
      <c r="W29" s="2"/>
      <c r="X29" s="2"/>
      <c r="Y29" s="2"/>
      <c r="Z29" s="2"/>
    </row>
    <row r="30" spans="1:26">
      <c r="A30" s="2"/>
      <c r="B30" s="2"/>
      <c r="C30" s="2"/>
      <c r="D30" s="2"/>
      <c r="E30" s="2"/>
      <c r="F30" s="2"/>
      <c r="G30" s="2"/>
      <c r="H30" s="2"/>
      <c r="I30" s="2"/>
      <c r="J30" s="2"/>
      <c r="K30" s="2"/>
      <c r="L30" s="2"/>
      <c r="M30" s="2"/>
      <c r="N30" s="2"/>
      <c r="O30" s="2"/>
      <c r="P30" s="2"/>
      <c r="Q30" s="2"/>
      <c r="R30" s="2"/>
      <c r="S30" s="2"/>
      <c r="T30" s="2"/>
      <c r="U30" s="2"/>
      <c r="V30" s="2"/>
      <c r="W30" s="2"/>
      <c r="X30" s="2"/>
      <c r="Y30" s="2"/>
      <c r="Z30" s="2"/>
    </row>
    <row r="31" spans="1:26">
      <c r="A31" s="2"/>
      <c r="B31" s="2"/>
      <c r="C31" s="2"/>
      <c r="D31" s="2"/>
      <c r="E31" s="2"/>
      <c r="F31" s="2"/>
      <c r="G31" s="2"/>
      <c r="H31" s="2"/>
      <c r="I31" s="2"/>
      <c r="J31" s="2"/>
      <c r="K31" s="2"/>
      <c r="L31" s="2"/>
      <c r="M31" s="2"/>
      <c r="N31" s="2"/>
      <c r="O31" s="2"/>
      <c r="P31" s="2"/>
      <c r="Q31" s="2"/>
      <c r="R31" s="2"/>
      <c r="S31" s="2"/>
      <c r="T31" s="2"/>
      <c r="U31" s="2"/>
      <c r="V31" s="2"/>
      <c r="W31" s="2"/>
      <c r="X31" s="2"/>
      <c r="Y31" s="2"/>
      <c r="Z31" s="2"/>
    </row>
    <row r="32" spans="1:26">
      <c r="A32" s="2"/>
      <c r="B32" s="2"/>
      <c r="C32" s="2"/>
      <c r="D32" s="2"/>
      <c r="E32" s="2"/>
      <c r="F32" s="2"/>
      <c r="G32" s="2"/>
      <c r="H32" s="2"/>
      <c r="I32" s="2"/>
      <c r="J32" s="2"/>
      <c r="K32" s="2"/>
      <c r="L32" s="2"/>
      <c r="M32" s="2"/>
      <c r="N32" s="2"/>
      <c r="O32" s="2"/>
      <c r="P32" s="2"/>
      <c r="Q32" s="2"/>
      <c r="R32" s="2"/>
      <c r="S32" s="2"/>
      <c r="T32" s="2"/>
      <c r="U32" s="2"/>
      <c r="V32" s="2"/>
      <c r="W32" s="2"/>
      <c r="X32" s="2"/>
      <c r="Y32" s="2"/>
      <c r="Z32" s="2"/>
    </row>
    <row r="33" spans="1:26">
      <c r="A33" s="2"/>
      <c r="B33" s="2"/>
      <c r="C33" s="2"/>
      <c r="D33" s="2"/>
      <c r="E33" s="2"/>
      <c r="F33" s="2"/>
      <c r="G33" s="2"/>
      <c r="H33" s="2"/>
      <c r="I33" s="2"/>
      <c r="J33" s="2"/>
      <c r="K33" s="2"/>
      <c r="L33" s="2"/>
      <c r="M33" s="2"/>
      <c r="N33" s="2"/>
      <c r="O33" s="2"/>
      <c r="P33" s="2"/>
      <c r="Q33" s="2"/>
      <c r="R33" s="2"/>
      <c r="S33" s="2"/>
      <c r="T33" s="2"/>
      <c r="U33" s="2"/>
      <c r="V33" s="2"/>
      <c r="W33" s="2"/>
      <c r="X33" s="2"/>
      <c r="Y33" s="2"/>
      <c r="Z33" s="2"/>
    </row>
    <row r="34" spans="1:26">
      <c r="A34" s="2"/>
      <c r="B34" s="2"/>
      <c r="C34" s="2"/>
      <c r="D34" s="2"/>
      <c r="E34" s="2"/>
      <c r="F34" s="2"/>
      <c r="G34" s="2"/>
      <c r="H34" s="2"/>
      <c r="I34" s="2"/>
      <c r="J34" s="2"/>
      <c r="K34" s="2"/>
      <c r="L34" s="2"/>
      <c r="M34" s="2"/>
      <c r="N34" s="2"/>
      <c r="O34" s="2"/>
      <c r="P34" s="2"/>
      <c r="Q34" s="2"/>
      <c r="R34" s="2"/>
      <c r="S34" s="2"/>
      <c r="T34" s="2"/>
      <c r="U34" s="2"/>
      <c r="V34" s="2"/>
      <c r="W34" s="2"/>
      <c r="X34" s="2"/>
      <c r="Y34" s="2"/>
      <c r="Z34" s="2"/>
    </row>
    <row r="35" spans="1:26">
      <c r="A35" s="2"/>
      <c r="B35" s="2"/>
      <c r="C35" s="2"/>
      <c r="D35" s="2"/>
      <c r="E35" s="2"/>
      <c r="F35" s="2"/>
      <c r="G35" s="2"/>
      <c r="H35" s="2"/>
      <c r="I35" s="2"/>
      <c r="J35" s="2"/>
      <c r="K35" s="2"/>
      <c r="L35" s="2"/>
      <c r="M35" s="2"/>
      <c r="N35" s="2"/>
      <c r="O35" s="2"/>
      <c r="P35" s="2"/>
      <c r="Q35" s="2"/>
      <c r="R35" s="2"/>
      <c r="S35" s="2"/>
      <c r="T35" s="2"/>
      <c r="U35" s="2"/>
      <c r="V35" s="2"/>
      <c r="W35" s="2"/>
      <c r="X35" s="2"/>
      <c r="Y35" s="2"/>
      <c r="Z35" s="2"/>
    </row>
    <row r="36" spans="1:26">
      <c r="A36" s="2"/>
      <c r="B36" s="2"/>
      <c r="C36" s="2"/>
      <c r="D36" s="2"/>
      <c r="E36" s="2"/>
      <c r="F36" s="2"/>
      <c r="G36" s="2"/>
      <c r="H36" s="2"/>
      <c r="I36" s="2"/>
      <c r="J36" s="2"/>
      <c r="K36" s="2"/>
      <c r="L36" s="2"/>
      <c r="M36" s="2"/>
      <c r="N36" s="2"/>
      <c r="O36" s="2"/>
      <c r="P36" s="2"/>
      <c r="Q36" s="2"/>
      <c r="R36" s="2"/>
      <c r="S36" s="2"/>
      <c r="T36" s="2"/>
      <c r="U36" s="2"/>
      <c r="V36" s="2"/>
      <c r="W36" s="2"/>
      <c r="X36" s="2"/>
      <c r="Y36" s="2"/>
      <c r="Z36" s="2"/>
    </row>
    <row r="37" spans="1:26">
      <c r="A37" s="2"/>
      <c r="B37" s="2"/>
      <c r="C37" s="2"/>
      <c r="D37" s="2"/>
      <c r="E37" s="2"/>
      <c r="F37" s="2"/>
      <c r="G37" s="2"/>
      <c r="H37" s="2"/>
      <c r="I37" s="2"/>
      <c r="J37" s="2"/>
      <c r="K37" s="2"/>
      <c r="L37" s="2"/>
      <c r="M37" s="2"/>
      <c r="N37" s="2"/>
      <c r="O37" s="2"/>
      <c r="P37" s="2"/>
      <c r="Q37" s="2"/>
      <c r="R37" s="2"/>
      <c r="S37" s="2"/>
      <c r="T37" s="2"/>
      <c r="U37" s="2"/>
      <c r="V37" s="2"/>
      <c r="W37" s="2"/>
      <c r="X37" s="2"/>
      <c r="Y37" s="2"/>
      <c r="Z37" s="2"/>
    </row>
    <row r="38" spans="1:26">
      <c r="A38" s="2"/>
      <c r="B38" s="2"/>
      <c r="C38" s="2"/>
      <c r="D38" s="2"/>
      <c r="E38" s="2"/>
      <c r="F38" s="2"/>
      <c r="G38" s="2"/>
      <c r="H38" s="2"/>
      <c r="I38" s="2"/>
      <c r="J38" s="2"/>
      <c r="K38" s="2"/>
      <c r="L38" s="2"/>
      <c r="M38" s="2"/>
      <c r="N38" s="2"/>
      <c r="O38" s="2"/>
      <c r="P38" s="2"/>
      <c r="Q38" s="2"/>
      <c r="R38" s="2"/>
      <c r="S38" s="2"/>
      <c r="T38" s="2"/>
      <c r="U38" s="2"/>
      <c r="V38" s="2"/>
      <c r="W38" s="2"/>
      <c r="X38" s="2"/>
      <c r="Y38" s="2"/>
      <c r="Z38" s="2"/>
    </row>
    <row r="39" spans="1:26">
      <c r="A39" s="2"/>
      <c r="B39" s="2"/>
      <c r="C39" s="2"/>
      <c r="D39" s="2"/>
      <c r="E39" s="2"/>
      <c r="F39" s="2"/>
      <c r="G39" s="2"/>
      <c r="H39" s="2"/>
      <c r="I39" s="2"/>
      <c r="J39" s="2"/>
      <c r="K39" s="2"/>
      <c r="L39" s="2"/>
      <c r="M39" s="2"/>
      <c r="N39" s="2"/>
      <c r="O39" s="2"/>
      <c r="P39" s="2"/>
      <c r="Q39" s="2"/>
      <c r="R39" s="2"/>
      <c r="S39" s="2"/>
      <c r="T39" s="2"/>
      <c r="U39" s="2"/>
      <c r="V39" s="2"/>
      <c r="W39" s="2"/>
      <c r="X39" s="2"/>
      <c r="Y39" s="2"/>
      <c r="Z39" s="2"/>
    </row>
    <row r="40" spans="1:26">
      <c r="A40" s="2"/>
      <c r="B40" s="2"/>
      <c r="C40" s="2"/>
      <c r="D40" s="2"/>
      <c r="E40" s="2"/>
      <c r="F40" s="2"/>
      <c r="G40" s="2"/>
      <c r="H40" s="2"/>
      <c r="I40" s="2"/>
      <c r="J40" s="2"/>
      <c r="K40" s="2"/>
      <c r="L40" s="2"/>
      <c r="M40" s="2"/>
      <c r="N40" s="2"/>
      <c r="O40" s="2"/>
      <c r="P40" s="2"/>
      <c r="Q40" s="2"/>
      <c r="R40" s="2"/>
      <c r="S40" s="2"/>
      <c r="T40" s="2"/>
      <c r="U40" s="2"/>
      <c r="V40" s="2"/>
      <c r="W40" s="2"/>
      <c r="X40" s="2"/>
      <c r="Y40" s="2"/>
      <c r="Z40" s="2"/>
    </row>
    <row r="41" spans="1:26">
      <c r="A41" s="2"/>
      <c r="B41" s="2"/>
      <c r="C41" s="2"/>
      <c r="D41" s="2"/>
      <c r="E41" s="2"/>
      <c r="F41" s="2"/>
      <c r="G41" s="2"/>
      <c r="H41" s="2"/>
      <c r="I41" s="2"/>
      <c r="J41" s="2"/>
      <c r="K41" s="2"/>
      <c r="L41" s="2"/>
      <c r="M41" s="2"/>
      <c r="N41" s="2"/>
      <c r="O41" s="2"/>
      <c r="P41" s="2"/>
      <c r="Q41" s="2"/>
      <c r="R41" s="2"/>
      <c r="S41" s="2"/>
      <c r="T41" s="2"/>
      <c r="U41" s="2"/>
      <c r="V41" s="2"/>
      <c r="W41" s="2"/>
      <c r="X41" s="2"/>
      <c r="Y41" s="2"/>
      <c r="Z41" s="2"/>
    </row>
    <row r="42" spans="1:26">
      <c r="A42" s="2"/>
      <c r="B42" s="2"/>
      <c r="C42" s="2"/>
      <c r="D42" s="2"/>
      <c r="E42" s="2"/>
      <c r="F42" s="2"/>
      <c r="G42" s="2"/>
      <c r="H42" s="2"/>
      <c r="I42" s="2"/>
      <c r="J42" s="2"/>
      <c r="K42" s="2"/>
      <c r="L42" s="2"/>
      <c r="M42" s="2"/>
      <c r="N42" s="2"/>
      <c r="O42" s="2"/>
      <c r="P42" s="2"/>
      <c r="Q42" s="2"/>
      <c r="R42" s="2"/>
      <c r="S42" s="2"/>
      <c r="T42" s="2"/>
      <c r="U42" s="2"/>
      <c r="V42" s="2"/>
      <c r="W42" s="2"/>
      <c r="X42" s="2"/>
      <c r="Y42" s="2"/>
      <c r="Z42" s="2"/>
    </row>
    <row r="43" spans="1:26">
      <c r="A43" s="2"/>
      <c r="B43" s="2"/>
      <c r="C43" s="2"/>
      <c r="D43" s="2"/>
      <c r="E43" s="2"/>
      <c r="F43" s="2"/>
      <c r="G43" s="2"/>
      <c r="H43" s="2"/>
      <c r="I43" s="2"/>
      <c r="J43" s="2"/>
      <c r="K43" s="2"/>
      <c r="L43" s="2"/>
      <c r="M43" s="2"/>
      <c r="N43" s="2"/>
      <c r="O43" s="2"/>
      <c r="P43" s="2"/>
      <c r="Q43" s="2"/>
      <c r="R43" s="2"/>
      <c r="S43" s="2"/>
      <c r="T43" s="2"/>
      <c r="U43" s="2"/>
      <c r="V43" s="2"/>
      <c r="W43" s="2"/>
      <c r="X43" s="2"/>
      <c r="Y43" s="2"/>
      <c r="Z43" s="2"/>
    </row>
    <row r="44" spans="1:26">
      <c r="A44" s="2"/>
      <c r="B44" s="2"/>
      <c r="C44" s="2"/>
      <c r="D44" s="2"/>
      <c r="E44" s="2"/>
      <c r="F44" s="2"/>
      <c r="G44" s="2"/>
      <c r="H44" s="2"/>
      <c r="I44" s="2"/>
      <c r="J44" s="2"/>
      <c r="K44" s="2"/>
      <c r="L44" s="2"/>
      <c r="M44" s="2"/>
      <c r="N44" s="2"/>
      <c r="O44" s="2"/>
      <c r="P44" s="2"/>
      <c r="Q44" s="2"/>
      <c r="R44" s="2"/>
      <c r="S44" s="2"/>
      <c r="T44" s="2"/>
      <c r="U44" s="2"/>
      <c r="V44" s="2"/>
      <c r="W44" s="2"/>
      <c r="X44" s="2"/>
      <c r="Y44" s="2"/>
      <c r="Z44" s="2"/>
    </row>
    <row r="45" spans="1:26">
      <c r="A45" s="2"/>
      <c r="B45" s="2"/>
      <c r="C45" s="2"/>
      <c r="D45" s="2"/>
      <c r="E45" s="2"/>
      <c r="F45" s="2"/>
      <c r="G45" s="2"/>
      <c r="H45" s="2"/>
      <c r="I45" s="2"/>
      <c r="J45" s="2"/>
      <c r="K45" s="2"/>
      <c r="L45" s="2"/>
      <c r="M45" s="2"/>
      <c r="N45" s="2"/>
      <c r="O45" s="2"/>
      <c r="P45" s="2"/>
      <c r="Q45" s="2"/>
      <c r="R45" s="2"/>
      <c r="S45" s="2"/>
      <c r="T45" s="2"/>
      <c r="U45" s="2"/>
      <c r="V45" s="2"/>
      <c r="W45" s="2"/>
      <c r="X45" s="2"/>
      <c r="Y45" s="2"/>
      <c r="Z45" s="2"/>
    </row>
    <row r="46" spans="1:26">
      <c r="A46" s="2"/>
      <c r="B46" s="2"/>
      <c r="C46" s="2"/>
      <c r="D46" s="2"/>
      <c r="E46" s="2"/>
      <c r="F46" s="2"/>
      <c r="G46" s="2"/>
      <c r="H46" s="2"/>
      <c r="I46" s="2"/>
      <c r="J46" s="2"/>
      <c r="K46" s="2"/>
      <c r="L46" s="2"/>
      <c r="M46" s="2"/>
      <c r="N46" s="2"/>
      <c r="O46" s="2"/>
      <c r="P46" s="2"/>
      <c r="Q46" s="2"/>
      <c r="R46" s="2"/>
      <c r="S46" s="2"/>
      <c r="T46" s="2"/>
      <c r="U46" s="2"/>
      <c r="V46" s="2"/>
      <c r="W46" s="2"/>
      <c r="X46" s="2"/>
      <c r="Y46" s="2"/>
      <c r="Z46" s="2"/>
    </row>
    <row r="47" spans="1:26">
      <c r="A47" s="2"/>
      <c r="B47" s="2"/>
      <c r="C47" s="2"/>
      <c r="D47" s="2"/>
      <c r="E47" s="2"/>
      <c r="F47" s="2"/>
      <c r="G47" s="2"/>
      <c r="H47" s="2"/>
      <c r="I47" s="2"/>
      <c r="J47" s="2"/>
      <c r="K47" s="2"/>
      <c r="L47" s="2"/>
      <c r="M47" s="2"/>
      <c r="N47" s="2"/>
      <c r="O47" s="2"/>
      <c r="P47" s="2"/>
      <c r="Q47" s="2"/>
      <c r="R47" s="2"/>
      <c r="S47" s="2"/>
      <c r="T47" s="2"/>
      <c r="U47" s="2"/>
      <c r="V47" s="2"/>
      <c r="W47" s="2"/>
      <c r="X47" s="2"/>
      <c r="Y47" s="2"/>
      <c r="Z47" s="2"/>
    </row>
    <row r="48" spans="1:26">
      <c r="A48" s="2"/>
      <c r="B48" s="2"/>
      <c r="C48" s="2"/>
      <c r="D48" s="2"/>
      <c r="E48" s="2"/>
      <c r="F48" s="2"/>
      <c r="G48" s="2"/>
      <c r="H48" s="2"/>
      <c r="I48" s="2"/>
      <c r="J48" s="2"/>
      <c r="K48" s="2"/>
      <c r="L48" s="2"/>
      <c r="M48" s="2"/>
      <c r="N48" s="2"/>
      <c r="O48" s="2"/>
      <c r="P48" s="2"/>
      <c r="Q48" s="2"/>
      <c r="R48" s="2"/>
      <c r="S48" s="2"/>
      <c r="T48" s="2"/>
      <c r="U48" s="2"/>
      <c r="V48" s="2"/>
      <c r="W48" s="2"/>
      <c r="X48" s="2"/>
      <c r="Y48" s="2"/>
      <c r="Z48" s="2"/>
    </row>
    <row r="49" spans="1:26">
      <c r="A49" s="2"/>
      <c r="B49" s="2"/>
      <c r="C49" s="2"/>
      <c r="D49" s="2"/>
      <c r="E49" s="2"/>
      <c r="F49" s="2"/>
      <c r="G49" s="2"/>
      <c r="H49" s="2"/>
      <c r="I49" s="2"/>
      <c r="J49" s="2"/>
      <c r="K49" s="2"/>
      <c r="L49" s="2"/>
      <c r="M49" s="2"/>
      <c r="N49" s="2"/>
      <c r="O49" s="2"/>
      <c r="P49" s="2"/>
      <c r="Q49" s="2"/>
      <c r="R49" s="2"/>
      <c r="S49" s="2"/>
      <c r="T49" s="2"/>
      <c r="U49" s="2"/>
      <c r="V49" s="2"/>
      <c r="W49" s="2"/>
      <c r="X49" s="2"/>
      <c r="Y49" s="2"/>
      <c r="Z49" s="2"/>
    </row>
    <row r="50" spans="1:26">
      <c r="A50" s="2"/>
      <c r="B50" s="2"/>
      <c r="C50" s="2"/>
      <c r="D50" s="2"/>
      <c r="E50" s="2"/>
      <c r="F50" s="2"/>
      <c r="G50" s="2"/>
      <c r="H50" s="2"/>
      <c r="I50" s="2"/>
      <c r="J50" s="2"/>
      <c r="K50" s="2"/>
      <c r="L50" s="2"/>
      <c r="M50" s="2"/>
      <c r="N50" s="2"/>
      <c r="O50" s="2"/>
      <c r="P50" s="2"/>
      <c r="Q50" s="2"/>
      <c r="R50" s="2"/>
      <c r="S50" s="2"/>
      <c r="T50" s="2"/>
      <c r="U50" s="2"/>
      <c r="V50" s="2"/>
      <c r="W50" s="2"/>
      <c r="X50" s="2"/>
      <c r="Y50" s="2"/>
      <c r="Z50" s="2"/>
    </row>
    <row r="51" spans="1:26">
      <c r="A51" s="2"/>
      <c r="B51" s="2"/>
      <c r="C51" s="2"/>
      <c r="D51" s="2"/>
      <c r="E51" s="2"/>
      <c r="F51" s="2"/>
      <c r="G51" s="2"/>
      <c r="H51" s="2"/>
      <c r="I51" s="2"/>
      <c r="J51" s="2"/>
      <c r="K51" s="2"/>
      <c r="L51" s="2"/>
      <c r="M51" s="2"/>
      <c r="N51" s="2"/>
      <c r="O51" s="2"/>
      <c r="P51" s="2"/>
      <c r="Q51" s="2"/>
      <c r="R51" s="2"/>
      <c r="S51" s="2"/>
      <c r="T51" s="2"/>
      <c r="U51" s="2"/>
      <c r="V51" s="2"/>
      <c r="W51" s="2"/>
      <c r="X51" s="2"/>
      <c r="Y51" s="2"/>
      <c r="Z51" s="2"/>
    </row>
    <row r="52" spans="1:26">
      <c r="A52" s="2"/>
      <c r="B52" s="2"/>
      <c r="C52" s="2"/>
      <c r="D52" s="2"/>
      <c r="E52" s="2"/>
      <c r="F52" s="2"/>
      <c r="G52" s="2"/>
      <c r="H52" s="2"/>
      <c r="I52" s="2"/>
      <c r="J52" s="2"/>
      <c r="K52" s="2"/>
      <c r="L52" s="2"/>
      <c r="M52" s="2"/>
      <c r="N52" s="2"/>
      <c r="O52" s="2"/>
      <c r="P52" s="2"/>
      <c r="Q52" s="2"/>
      <c r="R52" s="2"/>
      <c r="S52" s="2"/>
      <c r="T52" s="2"/>
      <c r="U52" s="2"/>
      <c r="V52" s="2"/>
      <c r="W52" s="2"/>
      <c r="X52" s="2"/>
      <c r="Y52" s="2"/>
      <c r="Z52" s="2"/>
    </row>
    <row r="53" spans="1:26">
      <c r="A53" s="2"/>
      <c r="B53" s="2"/>
      <c r="C53" s="2"/>
      <c r="D53" s="2"/>
      <c r="E53" s="2"/>
      <c r="F53" s="2"/>
      <c r="G53" s="2"/>
      <c r="H53" s="2"/>
      <c r="I53" s="2"/>
      <c r="J53" s="2"/>
      <c r="K53" s="2"/>
      <c r="L53" s="2"/>
      <c r="M53" s="2"/>
      <c r="N53" s="2"/>
      <c r="O53" s="2"/>
      <c r="P53" s="2"/>
      <c r="Q53" s="2"/>
      <c r="R53" s="2"/>
      <c r="S53" s="2"/>
      <c r="T53" s="2"/>
      <c r="U53" s="2"/>
      <c r="V53" s="2"/>
      <c r="W53" s="2"/>
      <c r="X53" s="2"/>
      <c r="Y53" s="2"/>
      <c r="Z53" s="2"/>
    </row>
    <row r="54" spans="1:26">
      <c r="A54" s="2"/>
      <c r="B54" s="2"/>
      <c r="C54" s="2"/>
      <c r="D54" s="2"/>
      <c r="E54" s="2"/>
      <c r="F54" s="2"/>
      <c r="G54" s="2"/>
      <c r="H54" s="2"/>
      <c r="I54" s="2"/>
      <c r="J54" s="2"/>
      <c r="K54" s="2"/>
      <c r="L54" s="2"/>
      <c r="M54" s="2"/>
      <c r="N54" s="2"/>
      <c r="O54" s="2"/>
      <c r="P54" s="2"/>
      <c r="Q54" s="2"/>
      <c r="R54" s="2"/>
      <c r="S54" s="2"/>
      <c r="T54" s="2"/>
      <c r="U54" s="2"/>
      <c r="V54" s="2"/>
      <c r="W54" s="2"/>
      <c r="X54" s="2"/>
      <c r="Y54" s="2"/>
      <c r="Z54" s="2"/>
    </row>
    <row r="55" spans="1:26">
      <c r="A55" s="2"/>
      <c r="B55" s="2"/>
      <c r="C55" s="2"/>
      <c r="D55" s="2"/>
      <c r="E55" s="2"/>
      <c r="F55" s="2"/>
      <c r="G55" s="2"/>
      <c r="H55" s="2"/>
      <c r="I55" s="2"/>
      <c r="J55" s="2"/>
      <c r="K55" s="2"/>
      <c r="L55" s="2"/>
      <c r="M55" s="2"/>
      <c r="N55" s="2"/>
      <c r="O55" s="2"/>
      <c r="P55" s="2"/>
      <c r="Q55" s="2"/>
      <c r="R55" s="2"/>
      <c r="S55" s="2"/>
      <c r="T55" s="2"/>
      <c r="U55" s="2"/>
      <c r="V55" s="2"/>
      <c r="W55" s="2"/>
      <c r="X55" s="2"/>
      <c r="Y55" s="2"/>
      <c r="Z55" s="2"/>
    </row>
    <row r="56" spans="1:26">
      <c r="A56" s="2"/>
      <c r="B56" s="2"/>
      <c r="C56" s="2"/>
      <c r="D56" s="2"/>
      <c r="E56" s="2"/>
      <c r="F56" s="2"/>
      <c r="G56" s="2"/>
      <c r="H56" s="2"/>
      <c r="I56" s="2"/>
      <c r="J56" s="2"/>
      <c r="K56" s="2"/>
      <c r="L56" s="2"/>
      <c r="M56" s="2"/>
      <c r="N56" s="2"/>
      <c r="O56" s="2"/>
      <c r="P56" s="2"/>
      <c r="Q56" s="2"/>
      <c r="R56" s="2"/>
      <c r="S56" s="2"/>
      <c r="T56" s="2"/>
      <c r="U56" s="2"/>
      <c r="V56" s="2"/>
      <c r="W56" s="2"/>
      <c r="X56" s="2"/>
      <c r="Y56" s="2"/>
      <c r="Z56" s="2"/>
    </row>
    <row r="57" spans="1:26">
      <c r="A57" s="2"/>
      <c r="B57" s="2"/>
      <c r="C57" s="2"/>
      <c r="D57" s="2"/>
      <c r="E57" s="2"/>
      <c r="F57" s="2"/>
      <c r="G57" s="2"/>
      <c r="H57" s="2"/>
      <c r="I57" s="2"/>
      <c r="J57" s="2"/>
      <c r="K57" s="2"/>
      <c r="L57" s="2"/>
      <c r="M57" s="2"/>
      <c r="N57" s="2"/>
      <c r="O57" s="2"/>
      <c r="P57" s="2"/>
      <c r="Q57" s="2"/>
      <c r="R57" s="2"/>
      <c r="S57" s="2"/>
      <c r="T57" s="2"/>
      <c r="U57" s="2"/>
      <c r="V57" s="2"/>
      <c r="W57" s="2"/>
      <c r="X57" s="2"/>
      <c r="Y57" s="2"/>
      <c r="Z57" s="2"/>
    </row>
    <row r="58" spans="1:26">
      <c r="A58" s="2"/>
      <c r="B58" s="2"/>
      <c r="C58" s="2"/>
      <c r="D58" s="2"/>
      <c r="E58" s="2"/>
      <c r="F58" s="2"/>
      <c r="G58" s="2"/>
      <c r="H58" s="2"/>
      <c r="I58" s="2"/>
      <c r="J58" s="2"/>
      <c r="K58" s="2"/>
      <c r="L58" s="2"/>
      <c r="M58" s="2"/>
      <c r="N58" s="2"/>
      <c r="O58" s="2"/>
      <c r="P58" s="2"/>
      <c r="Q58" s="2"/>
      <c r="R58" s="2"/>
      <c r="S58" s="2"/>
      <c r="T58" s="2"/>
      <c r="U58" s="2"/>
      <c r="V58" s="2"/>
      <c r="W58" s="2"/>
      <c r="X58" s="2"/>
      <c r="Y58" s="2"/>
      <c r="Z58" s="2"/>
    </row>
    <row r="59" spans="1:26">
      <c r="A59" s="2"/>
      <c r="B59" s="2"/>
      <c r="C59" s="2"/>
      <c r="D59" s="2"/>
      <c r="E59" s="2"/>
      <c r="F59" s="2"/>
      <c r="G59" s="2"/>
      <c r="H59" s="2"/>
      <c r="I59" s="2"/>
      <c r="J59" s="2"/>
      <c r="K59" s="2"/>
      <c r="L59" s="2"/>
      <c r="M59" s="2"/>
      <c r="N59" s="2"/>
      <c r="O59" s="2"/>
      <c r="P59" s="2"/>
      <c r="Q59" s="2"/>
      <c r="R59" s="2"/>
      <c r="S59" s="2"/>
      <c r="T59" s="2"/>
      <c r="U59" s="2"/>
      <c r="V59" s="2"/>
      <c r="W59" s="2"/>
      <c r="X59" s="2"/>
      <c r="Y59" s="2"/>
      <c r="Z59" s="2"/>
    </row>
    <row r="60" spans="1:26">
      <c r="A60" s="2"/>
      <c r="B60" s="2"/>
      <c r="C60" s="2"/>
      <c r="D60" s="2"/>
      <c r="E60" s="2"/>
      <c r="F60" s="2"/>
      <c r="G60" s="2"/>
      <c r="H60" s="2"/>
      <c r="I60" s="2"/>
      <c r="J60" s="2"/>
      <c r="K60" s="2"/>
      <c r="L60" s="2"/>
      <c r="M60" s="2"/>
      <c r="N60" s="2"/>
      <c r="O60" s="2"/>
      <c r="P60" s="2"/>
      <c r="Q60" s="2"/>
      <c r="R60" s="2"/>
      <c r="S60" s="2"/>
      <c r="T60" s="2"/>
      <c r="U60" s="2"/>
      <c r="V60" s="2"/>
      <c r="W60" s="2"/>
      <c r="X60" s="2"/>
      <c r="Y60" s="2"/>
      <c r="Z60" s="2"/>
    </row>
    <row r="61" spans="1:26">
      <c r="A61" s="2"/>
      <c r="B61" s="2"/>
      <c r="C61" s="2"/>
      <c r="D61" s="2"/>
      <c r="E61" s="2"/>
      <c r="F61" s="2"/>
      <c r="G61" s="2"/>
      <c r="H61" s="2"/>
      <c r="I61" s="2"/>
      <c r="J61" s="2"/>
      <c r="K61" s="2"/>
      <c r="L61" s="2"/>
      <c r="M61" s="2"/>
      <c r="N61" s="2"/>
      <c r="O61" s="2"/>
      <c r="P61" s="2"/>
      <c r="Q61" s="2"/>
      <c r="R61" s="2"/>
      <c r="S61" s="2"/>
      <c r="T61" s="2"/>
      <c r="U61" s="2"/>
      <c r="V61" s="2"/>
      <c r="W61" s="2"/>
      <c r="X61" s="2"/>
      <c r="Y61" s="2"/>
      <c r="Z61" s="2"/>
    </row>
    <row r="62" spans="1:26">
      <c r="A62" s="2"/>
      <c r="B62" s="2"/>
      <c r="C62" s="2"/>
      <c r="D62" s="2"/>
      <c r="E62" s="2"/>
      <c r="F62" s="2"/>
      <c r="G62" s="2"/>
      <c r="H62" s="2"/>
      <c r="I62" s="2"/>
      <c r="J62" s="2"/>
      <c r="K62" s="2"/>
      <c r="L62" s="2"/>
      <c r="M62" s="2"/>
      <c r="N62" s="2"/>
      <c r="O62" s="2"/>
      <c r="P62" s="2"/>
      <c r="Q62" s="2"/>
      <c r="R62" s="2"/>
      <c r="S62" s="2"/>
      <c r="T62" s="2"/>
      <c r="U62" s="2"/>
      <c r="V62" s="2"/>
      <c r="W62" s="2"/>
      <c r="X62" s="2"/>
      <c r="Y62" s="2"/>
      <c r="Z62" s="2"/>
    </row>
    <row r="63" spans="1:26">
      <c r="A63" s="2"/>
      <c r="B63" s="2"/>
      <c r="C63" s="2"/>
      <c r="D63" s="2"/>
      <c r="E63" s="2"/>
      <c r="F63" s="2"/>
      <c r="G63" s="2"/>
      <c r="H63" s="2"/>
      <c r="I63" s="2"/>
      <c r="J63" s="2"/>
      <c r="K63" s="2"/>
      <c r="L63" s="2"/>
      <c r="M63" s="2"/>
      <c r="N63" s="2"/>
      <c r="O63" s="2"/>
      <c r="P63" s="2"/>
      <c r="Q63" s="2"/>
      <c r="R63" s="2"/>
      <c r="S63" s="2"/>
      <c r="T63" s="2"/>
      <c r="U63" s="2"/>
      <c r="V63" s="2"/>
      <c r="W63" s="2"/>
      <c r="X63" s="2"/>
      <c r="Y63" s="2"/>
      <c r="Z63" s="2"/>
    </row>
    <row r="64" spans="1:26">
      <c r="A64" s="2"/>
      <c r="B64" s="2"/>
      <c r="C64" s="2"/>
      <c r="D64" s="2"/>
      <c r="E64" s="2"/>
      <c r="F64" s="2"/>
      <c r="G64" s="2"/>
      <c r="H64" s="2"/>
      <c r="I64" s="2"/>
      <c r="J64" s="2"/>
      <c r="K64" s="2"/>
      <c r="L64" s="2"/>
      <c r="M64" s="2"/>
      <c r="N64" s="2"/>
      <c r="O64" s="2"/>
      <c r="P64" s="2"/>
      <c r="Q64" s="2"/>
      <c r="R64" s="2"/>
      <c r="S64" s="2"/>
      <c r="T64" s="2"/>
      <c r="U64" s="2"/>
      <c r="V64" s="2"/>
      <c r="W64" s="2"/>
      <c r="X64" s="2"/>
      <c r="Y64" s="2"/>
      <c r="Z64" s="2"/>
    </row>
    <row r="65" spans="1:26">
      <c r="A65" s="2"/>
      <c r="B65" s="2"/>
      <c r="C65" s="2"/>
      <c r="D65" s="2"/>
      <c r="E65" s="2"/>
      <c r="F65" s="2"/>
      <c r="G65" s="2"/>
      <c r="H65" s="2"/>
      <c r="I65" s="2"/>
      <c r="J65" s="2"/>
      <c r="K65" s="2"/>
      <c r="L65" s="2"/>
      <c r="M65" s="2"/>
      <c r="N65" s="2"/>
      <c r="O65" s="2"/>
      <c r="P65" s="2"/>
      <c r="Q65" s="2"/>
      <c r="R65" s="2"/>
      <c r="S65" s="2"/>
      <c r="T65" s="2"/>
      <c r="U65" s="2"/>
      <c r="V65" s="2"/>
      <c r="W65" s="2"/>
      <c r="X65" s="2"/>
      <c r="Y65" s="2"/>
      <c r="Z65" s="2"/>
    </row>
    <row r="66" spans="1:26">
      <c r="A66" s="2"/>
      <c r="B66" s="2"/>
      <c r="C66" s="2"/>
      <c r="D66" s="2"/>
      <c r="E66" s="2"/>
      <c r="F66" s="2"/>
      <c r="G66" s="2"/>
      <c r="H66" s="2"/>
      <c r="I66" s="2"/>
      <c r="J66" s="2"/>
      <c r="K66" s="2"/>
      <c r="L66" s="2"/>
      <c r="M66" s="2"/>
      <c r="N66" s="2"/>
      <c r="O66" s="2"/>
      <c r="P66" s="2"/>
      <c r="Q66" s="2"/>
      <c r="R66" s="2"/>
      <c r="S66" s="2"/>
      <c r="T66" s="2"/>
      <c r="U66" s="2"/>
      <c r="V66" s="2"/>
      <c r="W66" s="2"/>
      <c r="X66" s="2"/>
      <c r="Y66" s="2"/>
      <c r="Z66" s="2"/>
    </row>
    <row r="67" spans="1:26">
      <c r="A67" s="2"/>
      <c r="B67" s="2"/>
      <c r="C67" s="2"/>
      <c r="D67" s="2"/>
      <c r="E67" s="2"/>
      <c r="F67" s="2"/>
      <c r="G67" s="2"/>
      <c r="H67" s="2"/>
      <c r="I67" s="2"/>
      <c r="J67" s="2"/>
      <c r="K67" s="2"/>
      <c r="L67" s="2"/>
      <c r="M67" s="2"/>
      <c r="N67" s="2"/>
      <c r="O67" s="2"/>
      <c r="P67" s="2"/>
      <c r="Q67" s="2"/>
      <c r="R67" s="2"/>
      <c r="S67" s="2"/>
      <c r="T67" s="2"/>
      <c r="U67" s="2"/>
      <c r="V67" s="2"/>
      <c r="W67" s="2"/>
      <c r="X67" s="2"/>
      <c r="Y67" s="2"/>
      <c r="Z67" s="2"/>
    </row>
    <row r="68" spans="1:26">
      <c r="A68" s="2"/>
      <c r="B68" s="2"/>
      <c r="C68" s="2"/>
      <c r="D68" s="2"/>
      <c r="E68" s="2"/>
      <c r="F68" s="2"/>
      <c r="G68" s="2"/>
      <c r="H68" s="2"/>
      <c r="I68" s="2"/>
      <c r="J68" s="2"/>
      <c r="K68" s="2"/>
      <c r="L68" s="2"/>
      <c r="M68" s="2"/>
      <c r="N68" s="2"/>
      <c r="O68" s="2"/>
      <c r="P68" s="2"/>
      <c r="Q68" s="2"/>
      <c r="R68" s="2"/>
      <c r="S68" s="2"/>
      <c r="T68" s="2"/>
      <c r="U68" s="2"/>
      <c r="V68" s="2"/>
      <c r="W68" s="2"/>
      <c r="X68" s="2"/>
      <c r="Y68" s="2"/>
      <c r="Z68" s="2"/>
    </row>
    <row r="69" spans="1:26">
      <c r="A69" s="2"/>
      <c r="B69" s="2"/>
      <c r="C69" s="2"/>
      <c r="D69" s="2"/>
      <c r="E69" s="2"/>
      <c r="F69" s="2"/>
      <c r="G69" s="2"/>
      <c r="H69" s="2"/>
      <c r="I69" s="2"/>
      <c r="J69" s="2"/>
      <c r="K69" s="2"/>
      <c r="L69" s="2"/>
      <c r="M69" s="2"/>
      <c r="N69" s="2"/>
      <c r="O69" s="2"/>
      <c r="P69" s="2"/>
      <c r="Q69" s="2"/>
      <c r="R69" s="2"/>
      <c r="S69" s="2"/>
      <c r="T69" s="2"/>
      <c r="U69" s="2"/>
      <c r="V69" s="2"/>
      <c r="W69" s="2"/>
      <c r="X69" s="2"/>
      <c r="Y69" s="2"/>
      <c r="Z69" s="2"/>
    </row>
    <row r="70" spans="1:26">
      <c r="A70" s="2"/>
      <c r="B70" s="2"/>
      <c r="C70" s="2"/>
      <c r="D70" s="2"/>
      <c r="E70" s="2"/>
      <c r="F70" s="2"/>
      <c r="G70" s="2"/>
      <c r="H70" s="2"/>
      <c r="I70" s="2"/>
      <c r="J70" s="2"/>
      <c r="K70" s="2"/>
      <c r="L70" s="2"/>
      <c r="M70" s="2"/>
      <c r="N70" s="2"/>
      <c r="O70" s="2"/>
      <c r="P70" s="2"/>
      <c r="Q70" s="2"/>
      <c r="R70" s="2"/>
      <c r="S70" s="2"/>
      <c r="T70" s="2"/>
      <c r="U70" s="2"/>
      <c r="V70" s="2"/>
      <c r="W70" s="2"/>
      <c r="X70" s="2"/>
      <c r="Y70" s="2"/>
      <c r="Z70" s="2"/>
    </row>
    <row r="71" spans="1:26">
      <c r="A71" s="2"/>
      <c r="B71" s="2"/>
      <c r="C71" s="2"/>
      <c r="D71" s="2"/>
      <c r="E71" s="2"/>
      <c r="F71" s="2"/>
      <c r="G71" s="2"/>
      <c r="H71" s="2"/>
      <c r="I71" s="2"/>
      <c r="J71" s="2"/>
      <c r="K71" s="2"/>
      <c r="L71" s="2"/>
      <c r="M71" s="2"/>
      <c r="N71" s="2"/>
      <c r="O71" s="2"/>
      <c r="P71" s="2"/>
      <c r="Q71" s="2"/>
      <c r="R71" s="2"/>
      <c r="S71" s="2"/>
      <c r="T71" s="2"/>
      <c r="U71" s="2"/>
      <c r="V71" s="2"/>
      <c r="W71" s="2"/>
      <c r="X71" s="2"/>
      <c r="Y71" s="2"/>
      <c r="Z71" s="2"/>
    </row>
    <row r="72" spans="1:26">
      <c r="A72" s="2"/>
      <c r="B72" s="2"/>
      <c r="C72" s="2"/>
      <c r="D72" s="2"/>
      <c r="E72" s="2"/>
      <c r="F72" s="2"/>
      <c r="G72" s="2"/>
      <c r="H72" s="2"/>
      <c r="I72" s="2"/>
      <c r="J72" s="2"/>
      <c r="K72" s="2"/>
      <c r="L72" s="2"/>
      <c r="M72" s="2"/>
      <c r="N72" s="2"/>
      <c r="O72" s="2"/>
      <c r="P72" s="2"/>
      <c r="Q72" s="2"/>
      <c r="R72" s="2"/>
      <c r="S72" s="2"/>
      <c r="T72" s="2"/>
      <c r="U72" s="2"/>
      <c r="V72" s="2"/>
      <c r="W72" s="2"/>
      <c r="X72" s="2"/>
      <c r="Y72" s="2"/>
      <c r="Z72" s="2"/>
    </row>
    <row r="73" spans="1:26">
      <c r="A73" s="2"/>
      <c r="B73" s="2"/>
      <c r="C73" s="2"/>
      <c r="D73" s="2"/>
      <c r="E73" s="2"/>
      <c r="F73" s="2"/>
      <c r="G73" s="2"/>
      <c r="H73" s="2"/>
      <c r="I73" s="2"/>
      <c r="J73" s="2"/>
      <c r="K73" s="2"/>
      <c r="L73" s="2"/>
      <c r="M73" s="2"/>
      <c r="N73" s="2"/>
      <c r="O73" s="2"/>
      <c r="P73" s="2"/>
      <c r="Q73" s="2"/>
      <c r="R73" s="2"/>
      <c r="S73" s="2"/>
      <c r="T73" s="2"/>
      <c r="U73" s="2"/>
      <c r="V73" s="2"/>
      <c r="W73" s="2"/>
      <c r="X73" s="2"/>
      <c r="Y73" s="2"/>
      <c r="Z73" s="2"/>
    </row>
    <row r="74" spans="1:26">
      <c r="A74" s="2"/>
      <c r="B74" s="2"/>
      <c r="C74" s="2"/>
      <c r="D74" s="2"/>
      <c r="E74" s="2"/>
      <c r="F74" s="2"/>
      <c r="G74" s="2"/>
      <c r="H74" s="2"/>
      <c r="I74" s="2"/>
      <c r="J74" s="2"/>
      <c r="K74" s="2"/>
      <c r="L74" s="2"/>
      <c r="M74" s="2"/>
      <c r="N74" s="2"/>
      <c r="O74" s="2"/>
      <c r="P74" s="2"/>
      <c r="Q74" s="2"/>
      <c r="R74" s="2"/>
      <c r="S74" s="2"/>
      <c r="T74" s="2"/>
      <c r="U74" s="2"/>
      <c r="V74" s="2"/>
      <c r="W74" s="2"/>
      <c r="X74" s="2"/>
      <c r="Y74" s="2"/>
      <c r="Z74" s="2"/>
    </row>
    <row r="75" spans="1:26">
      <c r="A75" s="2"/>
      <c r="B75" s="2"/>
      <c r="C75" s="2"/>
      <c r="D75" s="2"/>
      <c r="E75" s="2"/>
      <c r="F75" s="2"/>
      <c r="G75" s="2"/>
      <c r="H75" s="2"/>
      <c r="I75" s="2"/>
      <c r="J75" s="2"/>
      <c r="K75" s="2"/>
      <c r="L75" s="2"/>
      <c r="M75" s="2"/>
      <c r="N75" s="2"/>
      <c r="O75" s="2"/>
      <c r="P75" s="2"/>
      <c r="Q75" s="2"/>
      <c r="R75" s="2"/>
      <c r="S75" s="2"/>
      <c r="T75" s="2"/>
      <c r="U75" s="2"/>
      <c r="V75" s="2"/>
      <c r="W75" s="2"/>
      <c r="X75" s="2"/>
      <c r="Y75" s="2"/>
      <c r="Z75" s="2"/>
    </row>
    <row r="76" spans="1:26">
      <c r="A76" s="2"/>
      <c r="B76" s="2"/>
      <c r="C76" s="2"/>
      <c r="D76" s="2"/>
      <c r="E76" s="2"/>
      <c r="F76" s="2"/>
      <c r="G76" s="2"/>
      <c r="H76" s="2"/>
      <c r="I76" s="2"/>
      <c r="J76" s="2"/>
      <c r="K76" s="2"/>
      <c r="L76" s="2"/>
      <c r="M76" s="2"/>
      <c r="N76" s="2"/>
      <c r="O76" s="2"/>
      <c r="P76" s="2"/>
      <c r="Q76" s="2"/>
      <c r="R76" s="2"/>
      <c r="S76" s="2"/>
      <c r="T76" s="2"/>
      <c r="U76" s="2"/>
      <c r="V76" s="2"/>
      <c r="W76" s="2"/>
      <c r="X76" s="2"/>
      <c r="Y76" s="2"/>
      <c r="Z76" s="2"/>
    </row>
    <row r="77" spans="1:26">
      <c r="A77" s="2"/>
      <c r="B77" s="2"/>
      <c r="C77" s="2"/>
      <c r="D77" s="2"/>
      <c r="E77" s="2"/>
      <c r="F77" s="2"/>
      <c r="G77" s="2"/>
      <c r="H77" s="2"/>
      <c r="I77" s="2"/>
      <c r="J77" s="2"/>
      <c r="K77" s="2"/>
      <c r="L77" s="2"/>
      <c r="M77" s="2"/>
      <c r="N77" s="2"/>
      <c r="O77" s="2"/>
      <c r="P77" s="2"/>
      <c r="Q77" s="2"/>
      <c r="R77" s="2"/>
      <c r="S77" s="2"/>
      <c r="T77" s="2"/>
      <c r="U77" s="2"/>
      <c r="V77" s="2"/>
      <c r="W77" s="2"/>
      <c r="X77" s="2"/>
      <c r="Y77" s="2"/>
      <c r="Z77" s="2"/>
    </row>
    <row r="78" spans="1:26">
      <c r="A78" s="2"/>
      <c r="B78" s="2"/>
      <c r="C78" s="2"/>
      <c r="D78" s="2"/>
      <c r="E78" s="2"/>
      <c r="F78" s="2"/>
      <c r="G78" s="2"/>
      <c r="H78" s="2"/>
      <c r="I78" s="2"/>
      <c r="J78" s="2"/>
      <c r="K78" s="2"/>
      <c r="L78" s="2"/>
      <c r="M78" s="2"/>
      <c r="N78" s="2"/>
      <c r="O78" s="2"/>
      <c r="P78" s="2"/>
      <c r="Q78" s="2"/>
      <c r="R78" s="2"/>
      <c r="S78" s="2"/>
      <c r="T78" s="2"/>
      <c r="U78" s="2"/>
      <c r="V78" s="2"/>
      <c r="W78" s="2"/>
      <c r="X78" s="2"/>
      <c r="Y78" s="2"/>
      <c r="Z78" s="2"/>
    </row>
    <row r="79" spans="1:26">
      <c r="A79" s="2"/>
      <c r="B79" s="2"/>
      <c r="C79" s="2"/>
      <c r="D79" s="2"/>
      <c r="E79" s="2"/>
      <c r="F79" s="2"/>
      <c r="G79" s="2"/>
      <c r="H79" s="2"/>
      <c r="I79" s="2"/>
      <c r="J79" s="2"/>
      <c r="K79" s="2"/>
      <c r="L79" s="2"/>
      <c r="M79" s="2"/>
      <c r="N79" s="2"/>
      <c r="O79" s="2"/>
      <c r="P79" s="2"/>
      <c r="Q79" s="2"/>
      <c r="R79" s="2"/>
      <c r="S79" s="2"/>
      <c r="T79" s="2"/>
      <c r="U79" s="2"/>
      <c r="V79" s="2"/>
      <c r="W79" s="2"/>
      <c r="X79" s="2"/>
      <c r="Y79" s="2"/>
      <c r="Z79" s="2"/>
    </row>
    <row r="80" spans="1:26">
      <c r="A80" s="2"/>
      <c r="B80" s="2"/>
      <c r="C80" s="2"/>
      <c r="D80" s="2"/>
      <c r="E80" s="2"/>
      <c r="F80" s="2"/>
      <c r="G80" s="2"/>
      <c r="H80" s="2"/>
      <c r="I80" s="2"/>
      <c r="J80" s="2"/>
      <c r="K80" s="2"/>
      <c r="L80" s="2"/>
      <c r="M80" s="2"/>
      <c r="N80" s="2"/>
      <c r="O80" s="2"/>
      <c r="P80" s="2"/>
      <c r="Q80" s="2"/>
      <c r="R80" s="2"/>
      <c r="S80" s="2"/>
      <c r="T80" s="2"/>
      <c r="U80" s="2"/>
      <c r="V80" s="2"/>
      <c r="W80" s="2"/>
      <c r="X80" s="2"/>
      <c r="Y80" s="2"/>
      <c r="Z80" s="2"/>
    </row>
    <row r="81" spans="1:26">
      <c r="A81" s="2"/>
      <c r="B81" s="2"/>
      <c r="C81" s="2"/>
      <c r="D81" s="2"/>
      <c r="E81" s="2"/>
      <c r="F81" s="2"/>
      <c r="G81" s="2"/>
      <c r="H81" s="2"/>
      <c r="I81" s="2"/>
      <c r="J81" s="2"/>
      <c r="K81" s="2"/>
      <c r="L81" s="2"/>
      <c r="M81" s="2"/>
      <c r="N81" s="2"/>
      <c r="O81" s="2"/>
      <c r="P81" s="2"/>
      <c r="Q81" s="2"/>
      <c r="R81" s="2"/>
      <c r="S81" s="2"/>
      <c r="T81" s="2"/>
      <c r="U81" s="2"/>
      <c r="V81" s="2"/>
      <c r="W81" s="2"/>
      <c r="X81" s="2"/>
      <c r="Y81" s="2"/>
      <c r="Z81" s="2"/>
    </row>
    <row r="82" spans="1:26">
      <c r="A82" s="2"/>
      <c r="B82" s="2"/>
      <c r="C82" s="2"/>
      <c r="D82" s="2"/>
      <c r="E82" s="2"/>
      <c r="F82" s="2"/>
      <c r="G82" s="2"/>
      <c r="H82" s="2"/>
      <c r="I82" s="2"/>
      <c r="J82" s="2"/>
      <c r="K82" s="2"/>
      <c r="L82" s="2"/>
      <c r="M82" s="2"/>
      <c r="N82" s="2"/>
      <c r="O82" s="2"/>
      <c r="P82" s="2"/>
      <c r="Q82" s="2"/>
      <c r="R82" s="2"/>
      <c r="S82" s="2"/>
      <c r="T82" s="2"/>
      <c r="U82" s="2"/>
      <c r="V82" s="2"/>
      <c r="W82" s="2"/>
      <c r="X82" s="2"/>
      <c r="Y82" s="2"/>
      <c r="Z82" s="2"/>
    </row>
    <row r="83" spans="1:26">
      <c r="A83" s="2"/>
      <c r="B83" s="2"/>
      <c r="C83" s="2"/>
      <c r="D83" s="2"/>
      <c r="E83" s="2"/>
      <c r="F83" s="2"/>
      <c r="G83" s="2"/>
      <c r="H83" s="2"/>
      <c r="I83" s="2"/>
      <c r="J83" s="2"/>
      <c r="K83" s="2"/>
      <c r="L83" s="2"/>
      <c r="M83" s="2"/>
      <c r="N83" s="2"/>
      <c r="O83" s="2"/>
      <c r="P83" s="2"/>
      <c r="Q83" s="2"/>
      <c r="R83" s="2"/>
      <c r="S83" s="2"/>
      <c r="T83" s="2"/>
      <c r="U83" s="2"/>
      <c r="V83" s="2"/>
      <c r="W83" s="2"/>
      <c r="X83" s="2"/>
      <c r="Y83" s="2"/>
      <c r="Z83" s="2"/>
    </row>
    <row r="84" spans="1:26">
      <c r="A84" s="2"/>
      <c r="B84" s="2"/>
      <c r="C84" s="2"/>
      <c r="D84" s="2"/>
      <c r="E84" s="2"/>
      <c r="F84" s="2"/>
      <c r="G84" s="2"/>
      <c r="H84" s="2"/>
      <c r="I84" s="2"/>
      <c r="J84" s="2"/>
      <c r="K84" s="2"/>
      <c r="L84" s="2"/>
      <c r="M84" s="2"/>
      <c r="N84" s="2"/>
      <c r="O84" s="2"/>
      <c r="P84" s="2"/>
      <c r="Q84" s="2"/>
      <c r="R84" s="2"/>
      <c r="S84" s="2"/>
      <c r="T84" s="2"/>
      <c r="U84" s="2"/>
      <c r="V84" s="2"/>
      <c r="W84" s="2"/>
      <c r="X84" s="2"/>
      <c r="Y84" s="2"/>
      <c r="Z84" s="2"/>
    </row>
    <row r="85" spans="1:26">
      <c r="A85" s="2"/>
      <c r="B85" s="2"/>
      <c r="C85" s="2"/>
      <c r="D85" s="2"/>
      <c r="E85" s="2"/>
      <c r="F85" s="2"/>
      <c r="G85" s="2"/>
      <c r="H85" s="2"/>
      <c r="I85" s="2"/>
      <c r="J85" s="2"/>
      <c r="K85" s="2"/>
      <c r="L85" s="2"/>
      <c r="M85" s="2"/>
      <c r="N85" s="2"/>
      <c r="O85" s="2"/>
      <c r="P85" s="2"/>
      <c r="Q85" s="2"/>
      <c r="R85" s="2"/>
      <c r="S85" s="2"/>
      <c r="T85" s="2"/>
      <c r="U85" s="2"/>
      <c r="V85" s="2"/>
      <c r="W85" s="2"/>
      <c r="X85" s="2"/>
      <c r="Y85" s="2"/>
      <c r="Z85" s="2"/>
    </row>
    <row r="86" spans="1:26">
      <c r="A86" s="2"/>
      <c r="B86" s="2"/>
      <c r="C86" s="2"/>
      <c r="D86" s="2"/>
      <c r="E86" s="2"/>
      <c r="F86" s="2"/>
      <c r="G86" s="2"/>
      <c r="H86" s="2"/>
      <c r="I86" s="2"/>
      <c r="J86" s="2"/>
      <c r="K86" s="2"/>
      <c r="L86" s="2"/>
      <c r="M86" s="2"/>
      <c r="N86" s="2"/>
      <c r="O86" s="2"/>
      <c r="P86" s="2"/>
      <c r="Q86" s="2"/>
      <c r="R86" s="2"/>
      <c r="S86" s="2"/>
      <c r="T86" s="2"/>
      <c r="U86" s="2"/>
      <c r="V86" s="2"/>
      <c r="W86" s="2"/>
      <c r="X86" s="2"/>
      <c r="Y86" s="2"/>
      <c r="Z86" s="2"/>
    </row>
    <row r="87" spans="1:26">
      <c r="A87" s="2"/>
      <c r="B87" s="2"/>
      <c r="C87" s="2"/>
      <c r="D87" s="2"/>
      <c r="E87" s="2"/>
      <c r="F87" s="2"/>
      <c r="G87" s="2"/>
      <c r="H87" s="2"/>
      <c r="I87" s="2"/>
      <c r="J87" s="2"/>
      <c r="K87" s="2"/>
      <c r="L87" s="2"/>
      <c r="M87" s="2"/>
      <c r="N87" s="2"/>
      <c r="O87" s="2"/>
      <c r="P87" s="2"/>
      <c r="Q87" s="2"/>
      <c r="R87" s="2"/>
      <c r="S87" s="2"/>
      <c r="T87" s="2"/>
      <c r="U87" s="2"/>
      <c r="V87" s="2"/>
      <c r="W87" s="2"/>
      <c r="X87" s="2"/>
      <c r="Y87" s="2"/>
      <c r="Z87" s="2"/>
    </row>
    <row r="88" spans="1:26">
      <c r="A88" s="2"/>
      <c r="B88" s="2"/>
      <c r="C88" s="2"/>
      <c r="D88" s="2"/>
      <c r="E88" s="2"/>
      <c r="F88" s="2"/>
      <c r="G88" s="2"/>
      <c r="H88" s="2"/>
      <c r="I88" s="2"/>
      <c r="J88" s="2"/>
      <c r="K88" s="2"/>
      <c r="L88" s="2"/>
      <c r="M88" s="2"/>
      <c r="N88" s="2"/>
      <c r="O88" s="2"/>
      <c r="P88" s="2"/>
      <c r="Q88" s="2"/>
      <c r="R88" s="2"/>
      <c r="S88" s="2"/>
      <c r="T88" s="2"/>
      <c r="U88" s="2"/>
      <c r="V88" s="2"/>
      <c r="W88" s="2"/>
      <c r="X88" s="2"/>
      <c r="Y88" s="2"/>
      <c r="Z88" s="2"/>
    </row>
    <row r="89" spans="1:26">
      <c r="A89" s="2"/>
      <c r="B89" s="2"/>
      <c r="C89" s="2"/>
      <c r="D89" s="2"/>
      <c r="E89" s="2"/>
      <c r="F89" s="2"/>
      <c r="G89" s="2"/>
      <c r="H89" s="2"/>
      <c r="I89" s="2"/>
      <c r="J89" s="2"/>
      <c r="K89" s="2"/>
      <c r="L89" s="2"/>
      <c r="M89" s="2"/>
      <c r="N89" s="2"/>
      <c r="O89" s="2"/>
      <c r="P89" s="2"/>
      <c r="Q89" s="2"/>
      <c r="R89" s="2"/>
      <c r="S89" s="2"/>
      <c r="T89" s="2"/>
      <c r="U89" s="2"/>
      <c r="V89" s="2"/>
      <c r="W89" s="2"/>
      <c r="X89" s="2"/>
      <c r="Y89" s="2"/>
      <c r="Z89" s="2"/>
    </row>
    <row r="90" spans="1:26">
      <c r="A90" s="2"/>
      <c r="B90" s="2"/>
      <c r="C90" s="2"/>
      <c r="D90" s="2"/>
      <c r="E90" s="2"/>
      <c r="F90" s="2"/>
      <c r="G90" s="2"/>
      <c r="H90" s="2"/>
      <c r="I90" s="2"/>
      <c r="J90" s="2"/>
      <c r="K90" s="2"/>
      <c r="L90" s="2"/>
      <c r="M90" s="2"/>
      <c r="N90" s="2"/>
      <c r="O90" s="2"/>
      <c r="P90" s="2"/>
      <c r="Q90" s="2"/>
      <c r="R90" s="2"/>
      <c r="S90" s="2"/>
      <c r="T90" s="2"/>
      <c r="U90" s="2"/>
      <c r="V90" s="2"/>
      <c r="W90" s="2"/>
      <c r="X90" s="2"/>
      <c r="Y90" s="2"/>
      <c r="Z90" s="2"/>
    </row>
    <row r="91" spans="1:26">
      <c r="A91" s="2"/>
      <c r="B91" s="2"/>
      <c r="C91" s="2"/>
      <c r="D91" s="2"/>
      <c r="E91" s="2"/>
      <c r="F91" s="2"/>
      <c r="G91" s="2"/>
      <c r="H91" s="2"/>
      <c r="I91" s="2"/>
      <c r="J91" s="2"/>
      <c r="K91" s="2"/>
      <c r="L91" s="2"/>
      <c r="M91" s="2"/>
      <c r="N91" s="2"/>
      <c r="O91" s="2"/>
      <c r="P91" s="2"/>
      <c r="Q91" s="2"/>
      <c r="R91" s="2"/>
      <c r="S91" s="2"/>
      <c r="T91" s="2"/>
      <c r="U91" s="2"/>
      <c r="V91" s="2"/>
      <c r="W91" s="2"/>
      <c r="X91" s="2"/>
      <c r="Y91" s="2"/>
      <c r="Z91" s="2"/>
    </row>
    <row r="92" spans="1:26">
      <c r="A92" s="2"/>
      <c r="B92" s="2"/>
      <c r="C92" s="2"/>
      <c r="D92" s="2"/>
      <c r="E92" s="2"/>
      <c r="F92" s="2"/>
      <c r="G92" s="2"/>
      <c r="H92" s="2"/>
      <c r="I92" s="2"/>
      <c r="J92" s="2"/>
      <c r="K92" s="2"/>
      <c r="L92" s="2"/>
      <c r="M92" s="2"/>
      <c r="N92" s="2"/>
      <c r="O92" s="2"/>
      <c r="P92" s="2"/>
      <c r="Q92" s="2"/>
      <c r="R92" s="2"/>
      <c r="S92" s="2"/>
      <c r="T92" s="2"/>
      <c r="U92" s="2"/>
      <c r="V92" s="2"/>
      <c r="W92" s="2"/>
      <c r="X92" s="2"/>
      <c r="Y92" s="2"/>
      <c r="Z92" s="2"/>
    </row>
    <row r="93" spans="1:26">
      <c r="A93" s="2"/>
      <c r="B93" s="2"/>
      <c r="C93" s="2"/>
      <c r="D93" s="2"/>
      <c r="E93" s="2"/>
      <c r="F93" s="2"/>
      <c r="G93" s="2"/>
      <c r="H93" s="2"/>
      <c r="I93" s="2"/>
      <c r="J93" s="2"/>
      <c r="K93" s="2"/>
      <c r="L93" s="2"/>
      <c r="M93" s="2"/>
      <c r="N93" s="2"/>
      <c r="O93" s="2"/>
      <c r="P93" s="2"/>
      <c r="Q93" s="2"/>
      <c r="R93" s="2"/>
      <c r="S93" s="2"/>
      <c r="T93" s="2"/>
      <c r="U93" s="2"/>
      <c r="V93" s="2"/>
      <c r="W93" s="2"/>
      <c r="X93" s="2"/>
      <c r="Y93" s="2"/>
      <c r="Z93" s="2"/>
    </row>
    <row r="94" spans="1:26">
      <c r="A94" s="2"/>
      <c r="B94" s="2"/>
      <c r="C94" s="2"/>
      <c r="D94" s="2"/>
      <c r="E94" s="2"/>
      <c r="F94" s="2"/>
      <c r="G94" s="2"/>
      <c r="H94" s="2"/>
      <c r="I94" s="2"/>
      <c r="J94" s="2"/>
      <c r="K94" s="2"/>
      <c r="L94" s="2"/>
      <c r="M94" s="2"/>
      <c r="N94" s="2"/>
      <c r="O94" s="2"/>
      <c r="P94" s="2"/>
      <c r="Q94" s="2"/>
      <c r="R94" s="2"/>
      <c r="S94" s="2"/>
      <c r="T94" s="2"/>
      <c r="U94" s="2"/>
      <c r="V94" s="2"/>
      <c r="W94" s="2"/>
      <c r="X94" s="2"/>
      <c r="Y94" s="2"/>
      <c r="Z94" s="2"/>
    </row>
    <row r="95" spans="1:26">
      <c r="A95" s="2"/>
      <c r="B95" s="2"/>
      <c r="C95" s="2"/>
      <c r="D95" s="2"/>
      <c r="E95" s="2"/>
      <c r="F95" s="2"/>
      <c r="G95" s="2"/>
      <c r="H95" s="2"/>
      <c r="I95" s="2"/>
      <c r="J95" s="2"/>
      <c r="K95" s="2"/>
      <c r="L95" s="2"/>
      <c r="M95" s="2"/>
      <c r="N95" s="2"/>
      <c r="O95" s="2"/>
      <c r="P95" s="2"/>
      <c r="Q95" s="2"/>
      <c r="R95" s="2"/>
      <c r="S95" s="2"/>
      <c r="T95" s="2"/>
      <c r="U95" s="2"/>
      <c r="V95" s="2"/>
      <c r="W95" s="2"/>
      <c r="X95" s="2"/>
      <c r="Y95" s="2"/>
      <c r="Z95" s="2"/>
    </row>
    <row r="96" spans="1:26">
      <c r="A96" s="2"/>
      <c r="B96" s="2"/>
      <c r="C96" s="2"/>
      <c r="D96" s="2"/>
      <c r="E96" s="2"/>
      <c r="F96" s="2"/>
      <c r="G96" s="2"/>
      <c r="H96" s="2"/>
      <c r="I96" s="2"/>
      <c r="J96" s="2"/>
      <c r="K96" s="2"/>
      <c r="L96" s="2"/>
      <c r="M96" s="2"/>
      <c r="N96" s="2"/>
      <c r="O96" s="2"/>
      <c r="P96" s="2"/>
      <c r="Q96" s="2"/>
      <c r="R96" s="2"/>
      <c r="S96" s="2"/>
      <c r="T96" s="2"/>
      <c r="U96" s="2"/>
      <c r="V96" s="2"/>
      <c r="W96" s="2"/>
      <c r="X96" s="2"/>
      <c r="Y96" s="2"/>
      <c r="Z96" s="2"/>
    </row>
    <row r="97" spans="1:26">
      <c r="A97" s="2"/>
      <c r="B97" s="2"/>
      <c r="C97" s="2"/>
      <c r="D97" s="2"/>
      <c r="E97" s="2"/>
      <c r="F97" s="2"/>
      <c r="G97" s="2"/>
      <c r="H97" s="2"/>
      <c r="I97" s="2"/>
      <c r="J97" s="2"/>
      <c r="K97" s="2"/>
      <c r="L97" s="2"/>
      <c r="M97" s="2"/>
      <c r="N97" s="2"/>
      <c r="O97" s="2"/>
      <c r="P97" s="2"/>
      <c r="Q97" s="2"/>
      <c r="R97" s="2"/>
      <c r="S97" s="2"/>
      <c r="T97" s="2"/>
      <c r="U97" s="2"/>
      <c r="V97" s="2"/>
      <c r="W97" s="2"/>
      <c r="X97" s="2"/>
      <c r="Y97" s="2"/>
      <c r="Z97" s="2"/>
    </row>
    <row r="98" spans="1:26">
      <c r="A98" s="2"/>
      <c r="B98" s="2"/>
      <c r="C98" s="2"/>
      <c r="D98" s="2"/>
      <c r="E98" s="2"/>
      <c r="F98" s="2"/>
      <c r="G98" s="2"/>
      <c r="H98" s="2"/>
      <c r="I98" s="2"/>
      <c r="J98" s="2"/>
      <c r="K98" s="2"/>
      <c r="L98" s="2"/>
      <c r="M98" s="2"/>
      <c r="N98" s="2"/>
      <c r="O98" s="2"/>
      <c r="P98" s="2"/>
      <c r="Q98" s="2"/>
      <c r="R98" s="2"/>
      <c r="S98" s="2"/>
      <c r="T98" s="2"/>
      <c r="U98" s="2"/>
      <c r="V98" s="2"/>
      <c r="W98" s="2"/>
      <c r="X98" s="2"/>
      <c r="Y98" s="2"/>
      <c r="Z98" s="2"/>
    </row>
    <row r="99" spans="1:26">
      <c r="A99" s="2"/>
      <c r="B99" s="2"/>
      <c r="C99" s="2"/>
      <c r="D99" s="2"/>
      <c r="E99" s="2"/>
      <c r="F99" s="2"/>
      <c r="G99" s="2"/>
      <c r="H99" s="2"/>
      <c r="I99" s="2"/>
      <c r="J99" s="2"/>
      <c r="K99" s="2"/>
      <c r="L99" s="2"/>
      <c r="M99" s="2"/>
      <c r="N99" s="2"/>
      <c r="O99" s="2"/>
      <c r="P99" s="2"/>
      <c r="Q99" s="2"/>
      <c r="R99" s="2"/>
      <c r="S99" s="2"/>
      <c r="T99" s="2"/>
      <c r="U99" s="2"/>
      <c r="V99" s="2"/>
      <c r="W99" s="2"/>
      <c r="X99" s="2"/>
      <c r="Y99" s="2"/>
      <c r="Z99" s="2"/>
    </row>
    <row r="100" spans="1:26">
      <c r="A100" s="2"/>
      <c r="B100" s="2"/>
      <c r="C100" s="2"/>
      <c r="D100" s="2"/>
      <c r="E100" s="2"/>
      <c r="F100" s="2"/>
      <c r="G100" s="2"/>
      <c r="H100" s="2"/>
      <c r="I100" s="2"/>
      <c r="J100" s="2"/>
      <c r="K100" s="2"/>
      <c r="L100" s="2"/>
      <c r="M100" s="2"/>
      <c r="N100" s="2"/>
      <c r="O100" s="2"/>
      <c r="P100" s="2"/>
      <c r="Q100" s="2"/>
      <c r="R100" s="2"/>
      <c r="S100" s="2"/>
      <c r="T100" s="2"/>
      <c r="U100" s="2"/>
      <c r="V100" s="2"/>
      <c r="W100" s="2"/>
      <c r="X100" s="2"/>
      <c r="Y100" s="2"/>
      <c r="Z100" s="2"/>
    </row>
  </sheetData>
  <mergeCells count="1">
    <mergeCell ref="A1:H2"/>
  </mergeCells>
  <dataValidations count="1">
    <dataValidation type="list" sqref="H5:H12">
      <formula1>"Open,Monitoring,Mitigated,Closed"</formula1>
    </dataValidation>
  </dataValidations>
  <pageMargins left="0.7" right="0.7" top="0.75" bottom="0.75" header="0.3" footer="0.3"/>
  <headerFooter/>
  <tableParts count="1">
    <tablePart r:id="rId1"/>
  </tableParts>
</worksheet>
</file>

<file path=docProps/app.xml><?xml version="1.0" encoding="utf-8"?>
<Properties xmlns="http://schemas.openxmlformats.org/officeDocument/2006/extended-properties" xmlns:vt="http://schemas.openxmlformats.org/officeDocument/2006/docPropsVTypes">
  <Application>WPS Sheets</Application>
  <HeadingPairs>
    <vt:vector size="2" baseType="variant">
      <vt:variant>
        <vt:lpstr>工作表</vt:lpstr>
      </vt:variant>
      <vt:variant>
        <vt:i4>6</vt:i4>
      </vt:variant>
    </vt:vector>
  </HeadingPairs>
  <TitlesOfParts>
    <vt:vector size="6" baseType="lpstr">
      <vt:lpstr>OVERVIEW</vt:lpstr>
      <vt:lpstr>DASHBOARD</vt:lpstr>
      <vt:lpstr>M1_TASKS</vt:lpstr>
      <vt:lpstr>ROADMAP</vt:lpstr>
      <vt:lpstr>TEAM</vt:lpstr>
      <vt:lpstr>RISKS</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MrMinus</cp:lastModifiedBy>
  <dcterms:created xsi:type="dcterms:W3CDTF">2026-10-02T01:51:55Z</dcterms:created>
  <dcterms:modified xsi:type="dcterms:W3CDTF">2026-10-02T01:52:08Z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13C08CD9CEF6431B8E240EE331D4751D_12</vt:lpwstr>
  </property>
  <property fmtid="{D5CDD505-2E9C-101B-9397-08002B2CF9AE}" pid="3" name="KSOProductBuildVer">
    <vt:lpwstr>2057-12.2.0.23206</vt:lpwstr>
  </property>
</Properties>
</file>